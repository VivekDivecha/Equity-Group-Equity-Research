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Finance Knowledge Base\Equity Grp_ Equity research\"/>
    </mc:Choice>
  </mc:AlternateContent>
  <xr:revisionPtr revIDLastSave="0" documentId="13_ncr:1_{6E1A1FB7-CCDF-4A71-A4CA-56E1ED82CD92}" xr6:coauthVersionLast="47" xr6:coauthVersionMax="47" xr10:uidLastSave="{00000000-0000-0000-0000-000000000000}"/>
  <bookViews>
    <workbookView xWindow="-120" yWindow="-120" windowWidth="29040" windowHeight="16440" tabRatio="500" xr2:uid="{00000000-000D-0000-FFFF-FFFF00000000}"/>
  </bookViews>
  <sheets>
    <sheet name="Cover" sheetId="1" r:id="rId1"/>
    <sheet name="Conclusion" sheetId="2" r:id="rId2"/>
    <sheet name="Financials" sheetId="3" r:id="rId3"/>
    <sheet name="KPIs" sheetId="4" r:id="rId4"/>
    <sheet name="PBT Bridge" sheetId="5" r:id="rId5"/>
    <sheet name="NII Analysis" sheetId="14" r:id="rId6"/>
    <sheet name="Price Performance" sheetId="6" r:id="rId7"/>
    <sheet name="Peer Valuation" sheetId="7" r:id="rId8"/>
    <sheet name="Valuation" sheetId="8" r:id="rId9"/>
    <sheet name="Scenarios" sheetId="9" r:id="rId10"/>
    <sheet name="Sensitivity" sheetId="10" r:id="rId11"/>
    <sheet name="Thesis &amp; Risks" sheetId="11" r:id="rId12"/>
    <sheet name="Sources" sheetId="12"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 i="6" l="1"/>
  <c r="K4" i="6"/>
  <c r="K5" i="6"/>
  <c r="K7" i="6"/>
  <c r="K2" i="6"/>
  <c r="C13" i="4"/>
  <c r="D13" i="4"/>
  <c r="E13" i="4"/>
  <c r="B13" i="4"/>
  <c r="F14" i="3"/>
  <c r="F15" i="3"/>
  <c r="F16" i="3"/>
  <c r="F17" i="3"/>
  <c r="F18" i="3"/>
  <c r="F21" i="3"/>
  <c r="F13" i="3"/>
  <c r="F3" i="3"/>
  <c r="F4" i="3"/>
  <c r="F5" i="3"/>
  <c r="F6" i="3"/>
  <c r="F7" i="3"/>
  <c r="F8" i="3"/>
  <c r="F9" i="3"/>
  <c r="F10" i="3"/>
  <c r="F2" i="3"/>
  <c r="E21" i="3"/>
  <c r="E21" i="14"/>
  <c r="B27" i="9"/>
  <c r="F2" i="7"/>
  <c r="G4" i="10"/>
  <c r="D6" i="7"/>
  <c r="D20" i="8"/>
  <c r="B24" i="9"/>
  <c r="C3" i="9" s="1"/>
  <c r="B20" i="9"/>
  <c r="D3" i="7"/>
  <c r="G7" i="7"/>
  <c r="G2" i="7"/>
  <c r="E26" i="14"/>
  <c r="C23" i="14"/>
  <c r="D23" i="14"/>
  <c r="E23" i="14"/>
  <c r="C24" i="14"/>
  <c r="D24" i="14"/>
  <c r="E24" i="14"/>
  <c r="C25" i="14"/>
  <c r="D25" i="14"/>
  <c r="E25" i="14"/>
  <c r="C26" i="14"/>
  <c r="D26" i="14"/>
  <c r="D22" i="14"/>
  <c r="E22" i="14"/>
  <c r="C22" i="14"/>
  <c r="E20" i="14"/>
  <c r="D20" i="14"/>
  <c r="C20" i="14"/>
  <c r="E19" i="14"/>
  <c r="D19" i="14"/>
  <c r="C19" i="14"/>
  <c r="E18" i="14"/>
  <c r="D18" i="14"/>
  <c r="C18" i="14"/>
  <c r="E17" i="14"/>
  <c r="D17" i="14"/>
  <c r="C17" i="14"/>
  <c r="C12" i="14"/>
  <c r="D12" i="14"/>
  <c r="E12" i="14"/>
  <c r="B12" i="14"/>
  <c r="B7" i="14"/>
  <c r="C7" i="14"/>
  <c r="D7" i="14"/>
  <c r="E7" i="14"/>
  <c r="B6" i="5"/>
  <c r="E25" i="3"/>
  <c r="D10" i="3"/>
  <c r="E10" i="3"/>
  <c r="D7" i="3"/>
  <c r="D18" i="3" s="1"/>
  <c r="D8" i="4" s="1"/>
  <c r="E7" i="3"/>
  <c r="B7" i="3"/>
  <c r="C7" i="3"/>
  <c r="B10" i="3"/>
  <c r="B18" i="3" s="1"/>
  <c r="B8" i="4" s="1"/>
  <c r="B3" i="5"/>
  <c r="F15" i="10"/>
  <c r="E15" i="10"/>
  <c r="D15" i="10"/>
  <c r="C15" i="10"/>
  <c r="B15" i="10"/>
  <c r="F14" i="10"/>
  <c r="E14" i="10"/>
  <c r="D14" i="10"/>
  <c r="C14" i="10"/>
  <c r="B14" i="10"/>
  <c r="F13" i="10"/>
  <c r="E13" i="10"/>
  <c r="D13" i="10"/>
  <c r="C13" i="10"/>
  <c r="B13" i="10"/>
  <c r="F12" i="10"/>
  <c r="E12" i="10"/>
  <c r="D12" i="10"/>
  <c r="C12" i="10"/>
  <c r="B12" i="10"/>
  <c r="F11" i="10"/>
  <c r="E11" i="10"/>
  <c r="D11" i="10"/>
  <c r="C11" i="10"/>
  <c r="B11" i="10"/>
  <c r="F10" i="10"/>
  <c r="E10" i="10"/>
  <c r="D10" i="10"/>
  <c r="C10" i="10"/>
  <c r="B10" i="10"/>
  <c r="F9" i="10"/>
  <c r="E9" i="10"/>
  <c r="D9" i="10"/>
  <c r="C9" i="10"/>
  <c r="B9" i="10"/>
  <c r="H2" i="10"/>
  <c r="H3" i="10" s="1"/>
  <c r="H4" i="10" s="1"/>
  <c r="G2" i="10"/>
  <c r="G3" i="10" s="1"/>
  <c r="F2" i="10"/>
  <c r="F3" i="10" s="1"/>
  <c r="F4" i="10" s="1"/>
  <c r="E2" i="10"/>
  <c r="E3" i="10" s="1"/>
  <c r="E4" i="10" s="1"/>
  <c r="D2" i="10"/>
  <c r="D3" i="10" s="1"/>
  <c r="D4" i="10" s="1"/>
  <c r="C2" i="10"/>
  <c r="C3" i="10" s="1"/>
  <c r="C4" i="10" s="1"/>
  <c r="B2" i="10"/>
  <c r="B3" i="10" s="1"/>
  <c r="B4" i="10" s="1"/>
  <c r="D13" i="9"/>
  <c r="C13" i="9"/>
  <c r="B13" i="9"/>
  <c r="D6" i="9"/>
  <c r="C6" i="9"/>
  <c r="B6" i="9"/>
  <c r="E7" i="8"/>
  <c r="B10" i="1" s="1"/>
  <c r="C2" i="8"/>
  <c r="C21" i="8"/>
  <c r="C20" i="8"/>
  <c r="C19" i="8"/>
  <c r="G6" i="7"/>
  <c r="I5" i="7"/>
  <c r="F5" i="7"/>
  <c r="D5" i="7"/>
  <c r="I4" i="7"/>
  <c r="F4" i="7"/>
  <c r="D4" i="7"/>
  <c r="I3" i="7"/>
  <c r="F3" i="7"/>
  <c r="I2" i="7"/>
  <c r="D2" i="7"/>
  <c r="H7" i="6"/>
  <c r="G7" i="6"/>
  <c r="F7" i="6"/>
  <c r="J5" i="6"/>
  <c r="D5" i="6"/>
  <c r="G5" i="6" s="1"/>
  <c r="B5" i="6"/>
  <c r="F5" i="6" s="1"/>
  <c r="H5" i="6" s="1"/>
  <c r="J4" i="6"/>
  <c r="L4" i="6" s="1"/>
  <c r="D4" i="6"/>
  <c r="G4" i="6" s="1"/>
  <c r="B4" i="6"/>
  <c r="F4" i="6" s="1"/>
  <c r="H4" i="6" s="1"/>
  <c r="J3" i="6"/>
  <c r="D3" i="6"/>
  <c r="G3" i="6" s="1"/>
  <c r="B3" i="6"/>
  <c r="F3" i="6" s="1"/>
  <c r="H3" i="6" s="1"/>
  <c r="L2" i="6"/>
  <c r="G2" i="6"/>
  <c r="F2" i="6"/>
  <c r="H2" i="6" s="1"/>
  <c r="D8" i="5"/>
  <c r="C8" i="5"/>
  <c r="B8" i="5"/>
  <c r="D6" i="5"/>
  <c r="C6" i="5"/>
  <c r="D4" i="5"/>
  <c r="C4" i="5"/>
  <c r="B4" i="5"/>
  <c r="D3" i="5"/>
  <c r="C3" i="5"/>
  <c r="D2" i="5"/>
  <c r="C2" i="5"/>
  <c r="B2" i="5"/>
  <c r="E17" i="4"/>
  <c r="D17" i="4"/>
  <c r="C17" i="4"/>
  <c r="B17" i="4"/>
  <c r="E16" i="4"/>
  <c r="D16" i="4"/>
  <c r="C16" i="4"/>
  <c r="E15" i="4"/>
  <c r="D15" i="4"/>
  <c r="C15" i="4"/>
  <c r="B15" i="4"/>
  <c r="E14" i="4"/>
  <c r="D14" i="4"/>
  <c r="C14" i="4"/>
  <c r="B14" i="4"/>
  <c r="E12" i="4"/>
  <c r="D12" i="4"/>
  <c r="C12" i="4"/>
  <c r="B12" i="4"/>
  <c r="D11" i="4"/>
  <c r="E10" i="4"/>
  <c r="E11" i="4" s="1"/>
  <c r="E4" i="4"/>
  <c r="D4" i="4"/>
  <c r="C4" i="4"/>
  <c r="E3" i="4"/>
  <c r="D3" i="4"/>
  <c r="C3" i="4"/>
  <c r="E2" i="4"/>
  <c r="D2" i="4"/>
  <c r="C2" i="4"/>
  <c r="D25" i="3"/>
  <c r="C25" i="3"/>
  <c r="B25" i="3"/>
  <c r="D21" i="3"/>
  <c r="D7" i="4" s="1"/>
  <c r="C21" i="3"/>
  <c r="C7" i="4" s="1"/>
  <c r="B21" i="3"/>
  <c r="B7" i="4" s="1"/>
  <c r="E17" i="3"/>
  <c r="D17" i="3"/>
  <c r="D6" i="4" s="1"/>
  <c r="C17" i="3"/>
  <c r="C6" i="4" s="1"/>
  <c r="B17" i="3"/>
  <c r="B6" i="4" s="1"/>
  <c r="E16" i="3"/>
  <c r="D16" i="3"/>
  <c r="D5" i="4" s="1"/>
  <c r="C16" i="3"/>
  <c r="C5" i="4" s="1"/>
  <c r="B16" i="3"/>
  <c r="B5" i="4" s="1"/>
  <c r="C10" i="3"/>
  <c r="C21" i="14" l="1"/>
  <c r="C13" i="14"/>
  <c r="D21" i="14"/>
  <c r="D13" i="14"/>
  <c r="E13" i="14"/>
  <c r="B13" i="14"/>
  <c r="E18" i="3"/>
  <c r="C18" i="3"/>
  <c r="C8" i="4" s="1"/>
  <c r="E8" i="4"/>
  <c r="B9" i="5"/>
  <c r="C9" i="5"/>
  <c r="B5" i="5"/>
  <c r="B28" i="9"/>
  <c r="E5" i="4"/>
  <c r="D9" i="5"/>
  <c r="C5" i="5"/>
  <c r="C7" i="5" s="1"/>
  <c r="B7" i="5"/>
  <c r="D5" i="5"/>
  <c r="C5" i="9"/>
  <c r="C7" i="9" s="1"/>
  <c r="B3" i="9"/>
  <c r="B5" i="9" s="1"/>
  <c r="B7" i="9" s="1"/>
  <c r="B8" i="9" s="1"/>
  <c r="D3" i="9"/>
  <c r="D5" i="9" s="1"/>
  <c r="D7" i="9" s="1"/>
  <c r="D8" i="9" s="1"/>
  <c r="D21" i="8"/>
  <c r="E21" i="8" s="1"/>
  <c r="I6" i="7"/>
  <c r="I7" i="7" s="1"/>
  <c r="F6" i="7"/>
  <c r="F7" i="7" s="1"/>
  <c r="D19" i="8"/>
  <c r="E19" i="8" s="1"/>
  <c r="E20" i="8"/>
  <c r="D7" i="7"/>
  <c r="L3" i="6"/>
  <c r="L7" i="6"/>
  <c r="E7" i="4"/>
  <c r="E6" i="4"/>
  <c r="L5" i="6"/>
  <c r="D12" i="5" l="1"/>
  <c r="D13" i="5"/>
  <c r="D15" i="5"/>
  <c r="D7" i="5"/>
  <c r="D16" i="5" s="1"/>
  <c r="D14" i="5"/>
  <c r="D2" i="8"/>
  <c r="E2" i="8" s="1"/>
  <c r="E6" i="8" s="1"/>
  <c r="C8" i="9"/>
  <c r="D17" i="5" l="1"/>
  <c r="B9" i="1"/>
  <c r="E8" i="8"/>
  <c r="E11" i="8" s="1"/>
  <c r="B11" i="1" l="1"/>
  <c r="E10" i="8"/>
  <c r="B12" i="1" l="1"/>
  <c r="B8" i="1" l="1"/>
</calcChain>
</file>

<file path=xl/sharedStrings.xml><?xml version="1.0" encoding="utf-8"?>
<sst xmlns="http://schemas.openxmlformats.org/spreadsheetml/2006/main" count="355" uniqueCount="312">
  <si>
    <t>EQUITY RESEARCH – EQUITY GROUP HOLDINGS PLC</t>
  </si>
  <si>
    <t>Purpose</t>
  </si>
  <si>
    <t>Company</t>
  </si>
  <si>
    <t>Equity Group Holdings Plc</t>
  </si>
  <si>
    <t>Ticker</t>
  </si>
  <si>
    <t>EQTY (NSE)</t>
  </si>
  <si>
    <t>Sector</t>
  </si>
  <si>
    <t>Banking / Financial Services</t>
  </si>
  <si>
    <t>Research date</t>
  </si>
  <si>
    <t>Vivek Divecha</t>
  </si>
  <si>
    <t>Investment view</t>
  </si>
  <si>
    <t>Target price</t>
  </si>
  <si>
    <t>Current price</t>
  </si>
  <si>
    <t>Upside / (Downside)</t>
  </si>
  <si>
    <t>Expected total return (incl. dividend)</t>
  </si>
  <si>
    <t>INVESTMENT THESIS – 3 POINTS</t>
  </si>
  <si>
    <t>[1] Earnings / profitability driver</t>
  </si>
  <si>
    <t>[2] Growth / balance-sheet / regional driver</t>
  </si>
  <si>
    <t>[3] Key risk or valuation consideration</t>
  </si>
  <si>
    <t>Conclusion</t>
  </si>
  <si>
    <t>Summary</t>
  </si>
  <si>
    <t>Recommendation</t>
  </si>
  <si>
    <t>What would change the view to HOLD</t>
  </si>
  <si>
    <t>What would make us more cautious</t>
  </si>
  <si>
    <t>Metric</t>
  </si>
  <si>
    <t>FY2022</t>
  </si>
  <si>
    <t>FY2023</t>
  </si>
  <si>
    <t>FY2024</t>
  </si>
  <si>
    <t>FY2025</t>
  </si>
  <si>
    <t>YoY / Δ (pp for ratios)</t>
  </si>
  <si>
    <t>Source / Notes</t>
  </si>
  <si>
    <t>Total assets (KES mn)</t>
  </si>
  <si>
    <t>Gross loans (KES mn)</t>
  </si>
  <si>
    <t>Customer deposits (KES mn)</t>
  </si>
  <si>
    <t>Net interest income (KES mn)</t>
  </si>
  <si>
    <t>Non-interest income (KES mn)</t>
  </si>
  <si>
    <t>Profit before tax (KES mn)</t>
  </si>
  <si>
    <t>Profit after tax (KES mn)</t>
  </si>
  <si>
    <t>Total equity (KES mn)</t>
  </si>
  <si>
    <t>ROE (%)</t>
  </si>
  <si>
    <t>ROA (%)</t>
  </si>
  <si>
    <t>Cost-to-income (%)</t>
  </si>
  <si>
    <t>Gross non performing loans</t>
  </si>
  <si>
    <t>NPL ratio (%)</t>
  </si>
  <si>
    <t>Loan loss provisions (KES mn)</t>
  </si>
  <si>
    <t>Check: income − costs − PBT (KES mn)</t>
  </si>
  <si>
    <t>Should be ~0 (±100 = KES 0.1bn rounding in published figures).</t>
  </si>
  <si>
    <t>KPI</t>
  </si>
  <si>
    <t>Trend / Comment</t>
  </si>
  <si>
    <t>Loan growth (%)</t>
  </si>
  <si>
    <t>Gross loans +26.1% (FY23), -5.3% (FY24), +6.6% (FY25). Lending was cut back in FY24 while NPLs peaked; growth resumed in FY25.</t>
  </si>
  <si>
    <t>Deposit growth (%)</t>
  </si>
  <si>
    <t>PAT growth (%)</t>
  </si>
  <si>
    <t>ROE 21.8% → 21.0% → 26.4% (FY23–25); FY25 is the highest in the peer set but flattered by low provisions. Compare with ~18% cost of equity (Scenarios): ROE well above COE is what justifies trading above book.</t>
  </si>
  <si>
    <t>Dividend per share (KES)</t>
  </si>
  <si>
    <t>EPS (KES)</t>
  </si>
  <si>
    <t>Dividend payout (%)</t>
  </si>
  <si>
    <t>Cost of risk (provisions / avg gross loans)</t>
  </si>
  <si>
    <t>Provisions as % of operating income</t>
  </si>
  <si>
    <t>Gross loans / customer deposits (%)</t>
  </si>
  <si>
    <t>PBT growth (%)</t>
  </si>
  <si>
    <t>Non-interest income share of operating income</t>
  </si>
  <si>
    <t>KES mn</t>
  </si>
  <si>
    <t>FY22 → FY23</t>
  </si>
  <si>
    <t>FY23 → FY24</t>
  </si>
  <si>
    <t>FY24 → FY25</t>
  </si>
  <si>
    <t>Comment</t>
  </si>
  <si>
    <t>PBT – start</t>
  </si>
  <si>
    <t>Δ Net interest income</t>
  </si>
  <si>
    <t>Δ Non-interest income</t>
  </si>
  <si>
    <t>Δ Operating expenses (excl. provisions)</t>
  </si>
  <si>
    <t>Δ Loan loss provisions</t>
  </si>
  <si>
    <t>Rounding / unexplained</t>
  </si>
  <si>
    <t>PBT – end</t>
  </si>
  <si>
    <t>Change in PBT</t>
  </si>
  <si>
    <t>Net interest income</t>
  </si>
  <si>
    <t>Non-interest income</t>
  </si>
  <si>
    <t>Lower operating costs (excl. provisions)</t>
  </si>
  <si>
    <t>Lower provisions</t>
  </si>
  <si>
    <t>Rounding</t>
  </si>
  <si>
    <t>Income-driven (NII + non-interest income)</t>
  </si>
  <si>
    <t>Year</t>
  </si>
  <si>
    <t>EQTY Starting Price (KES)</t>
  </si>
  <si>
    <t>EQTY Ending Price ( KES)</t>
  </si>
  <si>
    <t>NSE 20 Starting</t>
  </si>
  <si>
    <t>NSE 20 Ending</t>
  </si>
  <si>
    <t>EQTY Return</t>
  </si>
  <si>
    <t>Benchmark Return</t>
  </si>
  <si>
    <t>Relative Return</t>
  </si>
  <si>
    <t>Dividend received in year (KES)</t>
  </si>
  <si>
    <t>EQTY Total Return</t>
  </si>
  <si>
    <t>Total return − benchmark</t>
  </si>
  <si>
    <t>Cumulative 2022 – 2025</t>
  </si>
  <si>
    <t>P/E</t>
  </si>
  <si>
    <t>BVPS (KES)</t>
  </si>
  <si>
    <t>P/B</t>
  </si>
  <si>
    <t>ROE</t>
  </si>
  <si>
    <t>DPS (KES)</t>
  </si>
  <si>
    <t>Dividend Yield</t>
  </si>
  <si>
    <t>Notes</t>
  </si>
  <si>
    <t>Equity Group</t>
  </si>
  <si>
    <t>KCB Group</t>
  </si>
  <si>
    <t>Co-operative Bank</t>
  </si>
  <si>
    <t>NCBA Group</t>
  </si>
  <si>
    <t>Peer median (KCB, Co-op, NCBA)</t>
  </si>
  <si>
    <t>Equity premium / (discount) to median</t>
  </si>
  <si>
    <t>Method</t>
  </si>
  <si>
    <t>Peer / Assumption</t>
  </si>
  <si>
    <t>Implied Value</t>
  </si>
  <si>
    <t>Book value per share</t>
  </si>
  <si>
    <t>EPS</t>
  </si>
  <si>
    <t>Dividend yield</t>
  </si>
  <si>
    <t>DPS</t>
  </si>
  <si>
    <t>Justified P/B (base scenario)</t>
  </si>
  <si>
    <t>Expected total return (upside + yield)</t>
  </si>
  <si>
    <t>Rating</t>
  </si>
  <si>
    <t>Rating rule: BUY ≥ +15%, SELL ≤ −10% expected total return, else HOLD.</t>
  </si>
  <si>
    <t>BUY if expected total return ≥</t>
  </si>
  <si>
    <t>SELL if expected total return ≤</t>
  </si>
  <si>
    <t>Scenario assumptions</t>
  </si>
  <si>
    <t>Bear</t>
  </si>
  <si>
    <t>Base</t>
  </si>
  <si>
    <t>Bull</t>
  </si>
  <si>
    <t>Normalised ROE</t>
  </si>
  <si>
    <t>Cost of equity</t>
  </si>
  <si>
    <t>Long-run growth (g)</t>
  </si>
  <si>
    <t>Nominal long-run growth, below Kenyan nominal GDP growth.</t>
  </si>
  <si>
    <t>Justified P/B = (ROE − g)/(COE − g)</t>
  </si>
  <si>
    <t>Gordon-growth justified P/B: the multiple a bank earning ROE on book deserves given COE and g.</t>
  </si>
  <si>
    <t>Book value per share (FY25, KES)</t>
  </si>
  <si>
    <t>Implied value per share (KES)</t>
  </si>
  <si>
    <t>vs current price</t>
  </si>
  <si>
    <t>Cost of equity build (CAPM)</t>
  </si>
  <si>
    <t>Input</t>
  </si>
  <si>
    <t>Beta</t>
  </si>
  <si>
    <t>Cost of equity (base)</t>
  </si>
  <si>
    <t>Bear / bull COE spread (±)</t>
  </si>
  <si>
    <t>Market-implied ROE at current price</t>
  </si>
  <si>
    <t>FY25 ROE (model basis)</t>
  </si>
  <si>
    <t>P/B Assumption</t>
  </si>
  <si>
    <t>Book value / share</t>
  </si>
  <si>
    <t>Price</t>
  </si>
  <si>
    <t>Value per share (KES): normalised ROE (down) vs cost of equity (across), base g</t>
  </si>
  <si>
    <t>ROE ↓ / COE →</t>
  </si>
  <si>
    <t>Type</t>
  </si>
  <si>
    <t>Point</t>
  </si>
  <si>
    <t>Evidence / Data</t>
  </si>
  <si>
    <t>Why it matters</t>
  </si>
  <si>
    <t>What would change the view</t>
  </si>
  <si>
    <t>Risk</t>
  </si>
  <si>
    <t>Stable currencies and sovereign spreads; geographic mix of profits.</t>
  </si>
  <si>
    <t>Source</t>
  </si>
  <si>
    <t>Document / Page</t>
  </si>
  <si>
    <t>Date</t>
  </si>
  <si>
    <t>Link / Reference</t>
  </si>
  <si>
    <t>Used for</t>
  </si>
  <si>
    <t>2025</t>
  </si>
  <si>
    <t>Official investor relations – source of assets, loans, NPLs, equity, PBT, PAT in the template; reconcile to audited statements.</t>
  </si>
  <si>
    <t>Historical financials, strategy, risks</t>
  </si>
  <si>
    <t>NSE / market source</t>
  </si>
  <si>
    <t>Historical EQTY share prices</t>
  </si>
  <si>
    <t>31 Dec 2025</t>
  </si>
  <si>
    <t>Price performance</t>
  </si>
  <si>
    <t>Peer annual reports</t>
  </si>
  <si>
    <t>KCB / Co-op / NCBA</t>
  </si>
  <si>
    <t>2025/2026</t>
  </si>
  <si>
    <t>Peer valuation / comparison</t>
  </si>
  <si>
    <t>Kenyan Wall Street</t>
  </si>
  <si>
    <t>Equity Group Posts Record KSh 75.5 Bn Profit</t>
  </si>
  <si>
    <t>18 Mar 2026</t>
  </si>
  <si>
    <t>https://kenyanwallstreet.com/equity-hits-record-ksh-75-5bn-profit</t>
  </si>
  <si>
    <t>FY25/FY24 NII, non-funded income, costs, provisions, deposits, EPS, DPS</t>
  </si>
  <si>
    <t>Equity Group (via africanfinancials)</t>
  </si>
  <si>
    <t>FY2025 Investor Briefing summary</t>
  </si>
  <si>
    <t>https://africanfinancials.com/document/ke-eqty-2025-pr-00/</t>
  </si>
  <si>
    <t>FY25 headline results, ROAE 26.7%, ROAA 4.2%, CIR 51.0%</t>
  </si>
  <si>
    <t>Cytonn</t>
  </si>
  <si>
    <t>Equity Group FY2024 earnings note</t>
  </si>
  <si>
    <t>https://www.cytonn.com/uploads/downloads/earnings-note-fy2024-equity-group-v3.pdf</t>
  </si>
  <si>
    <t>FY23/FY24 NII, NFI, provisions, deposits, loan/deposit ratio</t>
  </si>
  <si>
    <t>Sterling Investment Bank</t>
  </si>
  <si>
    <t>Equity Group FY2024 earnings update</t>
  </si>
  <si>
    <t>https://sterlingib.com/wp-content/uploads/2025/03/Equity-Group-Holdings-FY2024-Earnings-UpdateI.pdf</t>
  </si>
  <si>
    <t>FY23/FY24 opex incl. provisions, CIR with/without provisions, NIM</t>
  </si>
  <si>
    <t>Kingdom Securities</t>
  </si>
  <si>
    <t>Equity Group FY2023 earnings update</t>
  </si>
  <si>
    <t>2024</t>
  </si>
  <si>
    <t>https://kingdomsecurities.co.ke/wp-content/uploads/2024/03/Equity-Group-Holdings-Plc-Earnings-Update-FY-2023-Kingdom-Securities-Limited.pdf</t>
  </si>
  <si>
    <t>FY22/FY23 P&amp;L and deposits</t>
  </si>
  <si>
    <t>MarketScreener (press release)</t>
  </si>
  <si>
    <t>Equity Group Records $349m Net Profit in 2022</t>
  </si>
  <si>
    <t>2023</t>
  </si>
  <si>
    <t>https://www.marketscreener.com/quote/stock/EQUITY-GROUP-HOLDINGS-PLC-6500740/news/Equity-Group-Records-349m-Net-Profit-in-2022-43369601/</t>
  </si>
  <si>
    <t>FY22 NII, NFI, provisions, total costs, DPS growth</t>
  </si>
  <si>
    <t>Total Operating Income</t>
  </si>
  <si>
    <t>Operating expenses incl provisions (KES mn)</t>
  </si>
  <si>
    <t>Total Operating expenses excl of provisions (KES mn)</t>
  </si>
  <si>
    <t>Deposits grew 29.1% in FY23 then only 3.0% and 4.0%</t>
  </si>
  <si>
    <t>FY25 PAT +54.7%. 76.2% of the KES 31.4bn PBT increase came from higher income, 18.2% from lower provisions and 5.4% from lower costs (see PBT Bridge). FY23 PAT fell because provisions more than doubled.</t>
  </si>
  <si>
    <t>Positive = costs fell. Opex rose steadily until FY24</t>
  </si>
  <si>
    <t>FY25 change in PBT</t>
  </si>
  <si>
    <t>Interest Income</t>
  </si>
  <si>
    <t>Interest Expense</t>
  </si>
  <si>
    <t xml:space="preserve">Net Interest Income </t>
  </si>
  <si>
    <t>Loans and advances</t>
  </si>
  <si>
    <t>Government securities</t>
  </si>
  <si>
    <t>Deposits and placements with banking instututions</t>
  </si>
  <si>
    <t>Other Income</t>
  </si>
  <si>
    <t>Customer deposits</t>
  </si>
  <si>
    <t>Deposits and placements from banking institutions</t>
  </si>
  <si>
    <t xml:space="preserve">Other interest expense </t>
  </si>
  <si>
    <t>Loans and advances growth</t>
  </si>
  <si>
    <t>Government securities growth</t>
  </si>
  <si>
    <t>Deposits and placements growth</t>
  </si>
  <si>
    <t>Other Income growth</t>
  </si>
  <si>
    <t>Interest Income growth</t>
  </si>
  <si>
    <t>Reflects financial leverage, high systemtic importance, and regional banking risk profile</t>
  </si>
  <si>
    <t>equity risk premium</t>
  </si>
  <si>
    <t>Adjusted default spread</t>
  </si>
  <si>
    <t>Estimated risk-free rate</t>
  </si>
  <si>
    <t>Mature Market ERP</t>
  </si>
  <si>
    <t>Proxy for the local-currency government borrowing yield as at the valuation date</t>
  </si>
  <si>
    <t>Kenyan 10-yr bond yield</t>
  </si>
  <si>
    <t>Estimated sovereign default spread, subtracted to estimate a risk-free rate</t>
  </si>
  <si>
    <t>Kenyan bond yield less the estimated default spread to reduce double-counting sovereign risk</t>
  </si>
  <si>
    <t>Implied mature-market equity risk premium derived from Damodaran's country-risk data</t>
  </si>
  <si>
    <t>Damodaran's estimated additional equity risk premium for Kenya</t>
  </si>
  <si>
    <t>Assumes market-level systematic risk; used as a simplifying assumption rather than a measured company beta</t>
  </si>
  <si>
    <t>The base case is based on Equity Group's FY2022-2025 average ROE of 23.6%, adjusted for moderation from FY2025's elevated profitability, remaining above the peer median</t>
  </si>
  <si>
    <t>Source: Damodaran country risk premium data, updated 5 January 2026 (latest available data used); applied to the 31 March 2026 valuation date</t>
  </si>
  <si>
    <t xml:space="preserve">Justified P/B from ROE, COE and growth (Scenarios sheet) </t>
  </si>
  <si>
    <t>Price (KES) as of 31 March 2026</t>
  </si>
  <si>
    <t>Forecast dividend yield</t>
  </si>
  <si>
    <t>Estimated yield using market data</t>
  </si>
  <si>
    <t>Thesis</t>
  </si>
  <si>
    <t>Net Interest Income (NII)</t>
  </si>
  <si>
    <t>FY2025 NII benefited from lower interest expenses on placements with other banks and customer deposits, alongside lower funding costs in a declining interest-rate environment</t>
  </si>
  <si>
    <t>Explains the improvement in core interest earnings and identifies funding costs as an important driver of profitability</t>
  </si>
  <si>
    <t>Renewed deposit-cost pressure, higher funding costs or weaker interest income could limit further NII growth</t>
  </si>
  <si>
    <t>Slower income growth, rising operating expenses or higher impairment charges would weaken the earnings outlook</t>
  </si>
  <si>
    <t>Shows how improvements in revenue and costs translated into stronger bottom-line profitability</t>
  </si>
  <si>
    <t>FY2025 PAT increased 55% to KES 75.5bn, supported by stronger income, improved operating efficiency and lower loan-loss provisions</t>
  </si>
  <si>
    <t>Earnings Recovery</t>
  </si>
  <si>
    <t>Valuation Upside</t>
  </si>
  <si>
    <t>Justified P/B indicates a target price of approximately KES 102 versus KES 69 at 31 March 2026</t>
  </si>
  <si>
    <t>Lower sustainable ROE, a higher cost of equity or a lower market valuation would reduce the upside</t>
  </si>
  <si>
    <t>Implies approximately 47.8% price upside under the base-case assumptions</t>
  </si>
  <si>
    <t>Regional Diversification</t>
  </si>
  <si>
    <t>Regional subsidiaries contributed approximately 54% of PBT in FY2024</t>
  </si>
  <si>
    <t>Diversifies earnings beyond Kenya and provides additional growth opportunities</t>
  </si>
  <si>
    <t>Weaker subsidiary profitability, adverse currency movements or political and economic instability could reduce the benefits of diversification</t>
  </si>
  <si>
    <t>Asset Quality</t>
  </si>
  <si>
    <t>Gross NPL ratio increased from 8.4% in FY2022 to 13.6% then fell to 11.5% in FY2025</t>
  </si>
  <si>
    <t>Lower provisions supported profit growth, but this benefit may not recur at the same magnitude</t>
  </si>
  <si>
    <t>Sustained income growth alongside stable credit costs would support earnings quality; renewed provision increases would weaken it</t>
  </si>
  <si>
    <t>Earnings Sustainability</t>
  </si>
  <si>
    <t>Regional Exposure</t>
  </si>
  <si>
    <t>Deteriorating asset quality can increase credit losses and pressure earnings</t>
  </si>
  <si>
    <t>A sustained reduction in NPLs and credit costs would ease this concern; further deterioration would strengthen it</t>
  </si>
  <si>
    <t>FY2025 loan-loss provisions fell to KES 14.5bn from KES 20.2bn in FY2024</t>
  </si>
  <si>
    <t>Operations across multiple African markets expose the group to different currencies, political environments and economic conditions</t>
  </si>
  <si>
    <t>Regional diversification creates growth opportunities but also introduces currency and country-specific risks</t>
  </si>
  <si>
    <t>Improved macroeconomic stability and stronger subsidiary performance would reduce the risk; material currency losses or political disruption would increase it</t>
  </si>
  <si>
    <t>BUY | Target price: KES 102.00 vs. KES 69.00 at 31 March 2026 (47.8% price upside; approximately 54.6% indicative total return including a 6.8% forecast dividend yield)</t>
  </si>
  <si>
    <t>Equity Group's FY2025 earnings recovery, improving operating efficiency and regional diversification support a positive investment outlook. The justified P/B model indicates material upside, assuming a normalised ROE of 22% and long-term growth of 6%. However, the valuation is sensitive to the sustainability of profitability, credit costs and the cost of equity</t>
  </si>
  <si>
    <t>1. Earnings recovery is supported by stronger income and efficiency</t>
  </si>
  <si>
    <t>2. Asset quality remains a key risk</t>
  </si>
  <si>
    <t>FY2025 PAT increased 55% to KES 75.5bn. NII rose 17% to KES 126.9bn, supported partly by lower funding costs, while the cost-to-income ratio improved from 58.2% to 51.0%. Lower loan-loss provisions also supported earnings, meaning the exceptional profit growth should not be extrapolated indefinitely</t>
  </si>
  <si>
    <t>The gross NPL ratio declined from 13.6% in FY2024 to 11.5% in FY2025, indicating an improvement, but remained above the 8.4% recorded in FY2022. Further deterioration could increase impairment charges and weaken profitability</t>
  </si>
  <si>
    <t>3. Valuation offers upside, subject to sustianable returns</t>
  </si>
  <si>
    <t>The justified P/B model produces a target of approximately KES 102 per share, compared with KES 69 at the valuation date. Peer P/E provides a supporting cross-check, while peer P/B indicates a more conservative valuation and the dividend-yield method produces a lower estimate. The target therefore depends on the sustainability of the assumed 22% normalised ROE and 18.87% cost of equity</t>
  </si>
  <si>
    <t>(a) A renewed increase in NPLs or impairment charges; (b) slower NII growth as lower funding costs provide less support; (c) weaker regional subsidiary performance, currency losses or political disruption; and (d) sustainable ROE falling below the 22% base-case assumption or a higher required return reducing justified P/B</t>
  </si>
  <si>
    <t>Limitations of this analysis</t>
  </si>
  <si>
    <t>Valuation is as at 31 March 2026 and uses FY2025 financial results. The justified P/B model relies on assumptions for normalised ROE, long-term growth and cost of equity rather than a multi-year forecast or DCF. Peer valuations depend on the comparability and accuracy of selected peer inputs. The target is a model-derived estimate, not a guaranteed future price. The analysis is sensitive to changes in profitability and required returns. Subsequent share-price movements and financial results are excluded from the original investment decision</t>
  </si>
  <si>
    <t>The recommendation would need reassessment if the share price approached the target, reducing the remaining upside, or if revised earnings expectations and valuation assumptions implied materially less upside. Any minimum required return should be stated as an investment hurdle rather than a universal rule</t>
  </si>
  <si>
    <t xml:space="preserve">Equity research project </t>
  </si>
  <si>
    <t>Prepared October 2026; valuation as at 31 March 2026</t>
  </si>
  <si>
    <t>Name</t>
  </si>
  <si>
    <r>
      <rPr>
        <b/>
        <sz val="11"/>
        <color rgb="FF000000"/>
        <rFont val="Calibri"/>
        <family val="2"/>
      </rPr>
      <t>Earnings quality:</t>
    </r>
    <r>
      <rPr>
        <sz val="11"/>
        <color rgb="FF000000"/>
        <rFont val="Calibri"/>
        <family val="2"/>
      </rPr>
      <t xml:space="preserve"> FY25 PAT rose 55% to KES 75.5bn, with approximately 76.2% of the PBT increase attributable to higher income rather than lower provisions, supporting the underlying earnings improvement</t>
    </r>
  </si>
  <si>
    <r>
      <rPr>
        <b/>
        <sz val="11"/>
        <color rgb="FF000000"/>
        <rFont val="Calibri"/>
        <family val="2"/>
      </rPr>
      <t>Returns and franchise</t>
    </r>
    <r>
      <rPr>
        <sz val="11"/>
        <color rgb="FF000000"/>
        <rFont val="Calibri"/>
        <family val="2"/>
      </rPr>
      <t>: FY25 ROE of 26.4% was the highest among the four banks analysed, against a peer median of approximately 19.7%. Regional subsidiaries contributed about half of banking profit, supporting the Group's earnings diversification</t>
    </r>
  </si>
  <si>
    <r>
      <rPr>
        <b/>
        <sz val="11"/>
        <color rgb="FF000000"/>
        <rFont val="Calibri"/>
        <family val="2"/>
      </rPr>
      <t>Valuation and risk</t>
    </r>
    <r>
      <rPr>
        <sz val="11"/>
        <color rgb="FF000000"/>
        <rFont val="Calibri"/>
        <family val="2"/>
      </rPr>
      <t>: The justified P/B framework indicates a BUY recommendation with a KES 101.97 price target. Key risks include elevated NPLs, credit costs and potential reversal of the funding-cost tailwind. The valuation remains sensitive to the cost of equity, sustainable ROE and long-term growth assumptions</t>
    </r>
  </si>
  <si>
    <t>FY22 uses closing equity – not comparable with FY23+. FY25 reported ROAE 26.7% (attributable basis); model uses total PAT / average total equity</t>
  </si>
  <si>
    <t>FY25 reported ROAA 4.2%; model uses total PAT / average total assets. Higher is better</t>
  </si>
  <si>
    <t>ROA 2.7% → 4.0%. Higher is better. Rise reflects NII growth on a slow-growing asset base plus lower provisions</t>
  </si>
  <si>
    <t>NPL ratio 8.4% (FY22) → 12.1% → 13.6% (peak) → 11.5% (FY25). Improving but still elevated</t>
  </si>
  <si>
    <t>Cost-to-income (ex-provisions) 58.2% → 51.0%: opex fell while income grew 12%, giving operating leverage. FY23 51.8% shows ~51% is the normal level, so FY24 was the outlier</t>
  </si>
  <si>
    <t>DPS up 35% to KES 5.75 for FY25</t>
  </si>
  <si>
    <t>Payout ~30.2% of EPS in FY25: low payout leaves room to grow capital and the dividend</t>
  </si>
  <si>
    <t>Cost of risk fell from 4.2% (FY23) to 1.6% (FY25). FY22 uses year-end loans. This is the single biggest swing factor in earnings; a return to ~2–3% would cut PAT materially</t>
  </si>
  <si>
    <t>FY23 PBT fell 13% (provisions); FY25 +52%</t>
  </si>
  <si>
    <t>Proxy for margin (reported NIM: 7.4% FY23, 7.1% FY24). Rising in FY25 as interest expense fell; this tailwind may fade</t>
  </si>
  <si>
    <t>Provisions absorbed 19.6% of operating income in FY23 vs 6.7% in FY25</t>
  </si>
  <si>
    <t>Low loan-to-deposit ratio implies ample liquidity but lower asset yield; headroom to lend more</t>
  </si>
  <si>
    <t>~42% of income is non-funded (fees, FX, insurance). Shows they are diversifying operations</t>
  </si>
  <si>
    <t>NII / average total assets (NIM proxy)</t>
  </si>
  <si>
    <t>FY25: NII was the largest single driver. Helped by falling funding costs, so partly rate-cycle dependent</t>
  </si>
  <si>
    <t>Fees, FX and insurance income: steady, diversifying growth</t>
  </si>
  <si>
    <t>Positive = provisions fell. FY23 was the shock year (provisions +KES 21.9bn); FY25 provides a smaller (+KES 5.7bn) tailwind</t>
  </si>
  <si>
    <t>FY23: PBT fell because provisions and costs outgrew income. FY25: ~76.2% of the increase is income-driven, so the FY25 jump is not mainly a provisions write-back</t>
  </si>
  <si>
    <t>Worst year: provisions jumped to KES 35.6bn and PAT fell 5%; heavy KES depreciation and NPL concerns</t>
  </si>
  <si>
    <t>Recovery year: PAT +12% and market-wide rally; EQTY outperformed the index</t>
  </si>
  <si>
    <t>PAT +55% yet EQTY lagged the NSE 20 by ~18 points: the market gave little credit for the earnings growth. This gap is what the valuation work examines</t>
  </si>
  <si>
    <t>Price-only since end-2021: EQTY ~+27% vs NSE 20 ~+65%. Including dividends EQTY is ~+74% (cols K–L); benchmark is price-only so this is not like-for-like</t>
  </si>
  <si>
    <t>Shares fell with the benchmark as provisions rose, though PAT still grew 15%</t>
  </si>
  <si>
    <t>Notes: price returns exclude dividends unless stated (cols J–L). Dividend received in a year = prior-year DPS (paid ~mid-year)</t>
  </si>
  <si>
    <t>Other methods as supporting checks</t>
  </si>
  <si>
    <t>Green = value above current price; red = below. Current price in Valuation!E7</t>
  </si>
  <si>
    <t>Reading the grid: at KES 66.75 the price is only justified if ROE stays at roughly 16% or below (red cells). Anywhere above that the shares screen cheap, which is why the ROE assumption is the key judgement</t>
  </si>
  <si>
    <t>2022-2025 Integrated Report &amp; Financial Statements</t>
  </si>
  <si>
    <t>Official investor relations</t>
  </si>
  <si>
    <t>2022-2025</t>
  </si>
  <si>
    <t xml:space="preserve">Year-end prices and NSE 20 levels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</si>
</sst>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64" formatCode="0.0%"/>
    <numFmt numFmtId="165" formatCode="_(* #,##0.00_);_(* \(#,##0.00\);_(* \-??_);_(@_)"/>
    <numFmt numFmtId="166" formatCode="0.0&quot; pp&quot;"/>
    <numFmt numFmtId="167" formatCode="0.00\x"/>
    <numFmt numFmtId="168" formatCode="0.0"/>
  </numFmts>
  <fonts count="15" x14ac:knownFonts="1">
    <font>
      <sz val="11"/>
      <color theme="1"/>
      <name val="Calibri"/>
      <family val="2"/>
      <charset val="1"/>
    </font>
    <font>
      <b/>
      <sz val="16"/>
      <color rgb="FFFFFFFF"/>
      <name val="Calibri"/>
      <family val="2"/>
      <charset val="1"/>
    </font>
    <font>
      <b/>
      <sz val="11"/>
      <name val="Calibri"/>
      <family val="2"/>
      <charset val="1"/>
    </font>
    <font>
      <sz val="11"/>
      <color rgb="FF000000"/>
      <name val="Calibri"/>
      <family val="2"/>
    </font>
    <font>
      <b/>
      <sz val="11"/>
      <color rgb="FF000000"/>
      <name val="Calibri"/>
      <family val="2"/>
    </font>
    <font>
      <b/>
      <sz val="11"/>
      <name val="Calibri"/>
      <family val="2"/>
    </font>
    <font>
      <b/>
      <sz val="11"/>
      <color rgb="FFFFFFFF"/>
      <name val="Calibri"/>
      <family val="2"/>
      <charset val="1"/>
    </font>
    <font>
      <b/>
      <sz val="11"/>
      <color rgb="FFFFFFFF"/>
      <name val="Calibri"/>
      <family val="2"/>
    </font>
    <font>
      <sz val="11"/>
      <color rgb="FF0000FF"/>
      <name val="Calibri"/>
      <family val="2"/>
    </font>
    <font>
      <b/>
      <sz val="11"/>
      <color theme="1"/>
      <name val="Calibri"/>
      <family val="2"/>
      <charset val="1"/>
    </font>
    <font>
      <b/>
      <sz val="11"/>
      <color rgb="FF0000FF"/>
      <name val="Calibri"/>
      <family val="2"/>
    </font>
    <font>
      <sz val="11"/>
      <color theme="1"/>
      <name val="Calibri"/>
      <family val="2"/>
      <charset val="1"/>
    </font>
    <font>
      <sz val="11"/>
      <color theme="1"/>
      <name val="Calibri"/>
      <family val="2"/>
    </font>
    <font>
      <b/>
      <sz val="11"/>
      <color theme="1"/>
      <name val="Calibri"/>
      <family val="2"/>
    </font>
    <font>
      <sz val="11"/>
      <name val="Calibri"/>
      <family val="2"/>
    </font>
  </fonts>
  <fills count="4">
    <fill>
      <patternFill patternType="none"/>
    </fill>
    <fill>
      <patternFill patternType="gray125"/>
    </fill>
    <fill>
      <patternFill patternType="solid">
        <fgColor rgb="FF1F4E78"/>
        <bgColor rgb="FF003366"/>
      </patternFill>
    </fill>
    <fill>
      <patternFill patternType="solid">
        <fgColor rgb="FFD9EAF7"/>
        <bgColor rgb="FFC6EFCE"/>
      </patternFill>
    </fill>
  </fills>
  <borders count="2">
    <border>
      <left/>
      <right/>
      <top/>
      <bottom/>
      <diagonal/>
    </border>
    <border>
      <left/>
      <right/>
      <top/>
      <bottom style="thin">
        <color rgb="FFB7B7B7"/>
      </bottom>
      <diagonal/>
    </border>
  </borders>
  <cellStyleXfs count="3">
    <xf numFmtId="0" fontId="0" fillId="0" borderId="0"/>
    <xf numFmtId="165" fontId="11" fillId="0" borderId="0"/>
    <xf numFmtId="9" fontId="11" fillId="0" borderId="0"/>
  </cellStyleXfs>
  <cellXfs count="69">
    <xf numFmtId="0" fontId="0" fillId="0" borderId="0" xfId="0"/>
    <xf numFmtId="0" fontId="1" fillId="2" borderId="0" xfId="0" applyFont="1" applyFill="1" applyAlignment="1">
      <alignment vertical="top" wrapText="1"/>
    </xf>
    <xf numFmtId="0" fontId="0" fillId="2" borderId="0" xfId="0" applyFill="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2" fontId="3" fillId="0" borderId="1" xfId="0" applyNumberFormat="1" applyFont="1" applyBorder="1" applyAlignment="1">
      <alignment vertical="top" wrapText="1"/>
    </xf>
    <xf numFmtId="164" fontId="3" fillId="0" borderId="1" xfId="0" applyNumberFormat="1" applyFont="1" applyBorder="1" applyAlignment="1">
      <alignment vertical="top" wrapText="1"/>
    </xf>
    <xf numFmtId="0" fontId="5" fillId="3" borderId="0" xfId="0" applyFont="1" applyFill="1" applyAlignment="1">
      <alignment vertical="top" wrapText="1"/>
    </xf>
    <xf numFmtId="164" fontId="3" fillId="0" borderId="0" xfId="0" applyNumberFormat="1" applyFont="1" applyAlignment="1">
      <alignment vertical="top" wrapText="1"/>
    </xf>
    <xf numFmtId="0" fontId="0" fillId="0" borderId="0" xfId="0" applyAlignment="1">
      <alignment vertical="top" wrapText="1"/>
    </xf>
    <xf numFmtId="0" fontId="6" fillId="2" borderId="0" xfId="0" applyFont="1" applyFill="1" applyAlignment="1">
      <alignment vertical="top" wrapText="1"/>
    </xf>
    <xf numFmtId="0" fontId="3" fillId="0" borderId="0" xfId="0" applyFont="1" applyAlignment="1">
      <alignment vertical="top" wrapText="1"/>
    </xf>
    <xf numFmtId="0" fontId="7" fillId="2" borderId="0" xfId="0" applyFont="1" applyFill="1" applyAlignment="1">
      <alignment vertical="center" wrapText="1"/>
    </xf>
    <xf numFmtId="0" fontId="4" fillId="3" borderId="0" xfId="0" applyFont="1" applyFill="1" applyAlignment="1">
      <alignment vertical="top" wrapText="1"/>
    </xf>
    <xf numFmtId="0" fontId="6" fillId="2" borderId="1" xfId="0" applyFont="1" applyFill="1" applyBorder="1" applyAlignment="1">
      <alignment vertical="top" wrapText="1"/>
    </xf>
    <xf numFmtId="3" fontId="8" fillId="0" borderId="0" xfId="0" applyNumberFormat="1" applyFont="1" applyAlignment="1">
      <alignment vertical="top" wrapText="1"/>
    </xf>
    <xf numFmtId="164" fontId="0" fillId="0" borderId="0" xfId="0" applyNumberFormat="1" applyAlignment="1">
      <alignment vertical="top" wrapText="1"/>
    </xf>
    <xf numFmtId="3" fontId="8" fillId="0" borderId="0" xfId="0" applyNumberFormat="1" applyFont="1"/>
    <xf numFmtId="3" fontId="8" fillId="0" borderId="0" xfId="1" applyNumberFormat="1" applyFont="1" applyAlignment="1">
      <alignment vertical="top" wrapText="1"/>
    </xf>
    <xf numFmtId="37" fontId="3" fillId="0" borderId="0" xfId="0" applyNumberFormat="1" applyFont="1" applyAlignment="1">
      <alignment vertical="top" wrapText="1"/>
    </xf>
    <xf numFmtId="164" fontId="11" fillId="0" borderId="0" xfId="2" applyNumberFormat="1" applyAlignment="1">
      <alignment vertical="top" wrapText="1"/>
    </xf>
    <xf numFmtId="166" fontId="3" fillId="0" borderId="0" xfId="0" applyNumberFormat="1" applyFont="1" applyAlignment="1">
      <alignment vertical="top" wrapText="1"/>
    </xf>
    <xf numFmtId="9" fontId="11" fillId="0" borderId="0" xfId="2" applyAlignment="1">
      <alignment vertical="top" wrapText="1"/>
    </xf>
    <xf numFmtId="3" fontId="8" fillId="0" borderId="0" xfId="0" applyNumberFormat="1" applyFont="1" applyAlignment="1">
      <alignment vertical="center" wrapText="1"/>
    </xf>
    <xf numFmtId="2" fontId="8" fillId="0" borderId="0" xfId="0" applyNumberFormat="1" applyFont="1" applyAlignment="1">
      <alignment vertical="top" wrapText="1"/>
    </xf>
    <xf numFmtId="2" fontId="3" fillId="0" borderId="0" xfId="0" applyNumberFormat="1" applyFont="1" applyAlignment="1">
      <alignment vertical="top" wrapText="1"/>
    </xf>
    <xf numFmtId="0" fontId="4" fillId="0" borderId="0" xfId="0" applyFont="1" applyAlignment="1">
      <alignment vertical="top" wrapText="1"/>
    </xf>
    <xf numFmtId="3" fontId="3" fillId="0" borderId="0" xfId="0" applyNumberFormat="1" applyFont="1" applyAlignment="1">
      <alignment vertical="top" wrapText="1"/>
    </xf>
    <xf numFmtId="37" fontId="4" fillId="0" borderId="0" xfId="0" applyNumberFormat="1" applyFont="1" applyAlignment="1">
      <alignment vertical="top" wrapText="1"/>
    </xf>
    <xf numFmtId="164" fontId="4" fillId="0" borderId="0" xfId="0" applyNumberFormat="1" applyFont="1" applyAlignment="1">
      <alignment vertical="top" wrapText="1"/>
    </xf>
    <xf numFmtId="4" fontId="8" fillId="0" borderId="0" xfId="0" applyNumberFormat="1" applyFont="1"/>
    <xf numFmtId="164" fontId="3" fillId="0" borderId="0" xfId="2" applyNumberFormat="1" applyFont="1" applyAlignment="1">
      <alignment vertical="top" wrapText="1"/>
    </xf>
    <xf numFmtId="2" fontId="0" fillId="0" borderId="0" xfId="0" applyNumberFormat="1" applyAlignment="1">
      <alignment vertical="top" wrapText="1"/>
    </xf>
    <xf numFmtId="4" fontId="0" fillId="0" borderId="0" xfId="0" applyNumberFormat="1" applyAlignment="1">
      <alignment vertical="top" wrapText="1"/>
    </xf>
    <xf numFmtId="4" fontId="8" fillId="0" borderId="0" xfId="0" applyNumberFormat="1" applyFont="1" applyAlignment="1">
      <alignment vertical="center" wrapText="1"/>
    </xf>
    <xf numFmtId="0" fontId="9" fillId="0" borderId="0" xfId="0" applyFont="1" applyAlignment="1">
      <alignment vertical="center" wrapText="1"/>
    </xf>
    <xf numFmtId="0" fontId="3" fillId="0" borderId="0" xfId="0" applyFont="1"/>
    <xf numFmtId="0" fontId="3" fillId="2" borderId="1" xfId="0" applyFont="1" applyFill="1" applyBorder="1" applyAlignment="1">
      <alignment vertical="top" wrapText="1"/>
    </xf>
    <xf numFmtId="0" fontId="8" fillId="0" borderId="0" xfId="0" applyFont="1" applyAlignment="1">
      <alignment vertical="top" wrapText="1"/>
    </xf>
    <xf numFmtId="2" fontId="8" fillId="0" borderId="0" xfId="2" applyNumberFormat="1" applyFont="1" applyAlignment="1">
      <alignment vertical="top" wrapText="1"/>
    </xf>
    <xf numFmtId="164" fontId="8" fillId="0" borderId="0" xfId="0" applyNumberFormat="1" applyFont="1" applyAlignment="1">
      <alignment vertical="top" wrapText="1"/>
    </xf>
    <xf numFmtId="2" fontId="8" fillId="0" borderId="0" xfId="0" applyNumberFormat="1" applyFont="1"/>
    <xf numFmtId="2" fontId="4" fillId="0" borderId="0" xfId="0" applyNumberFormat="1" applyFont="1" applyAlignment="1">
      <alignment vertical="top" wrapText="1"/>
    </xf>
    <xf numFmtId="167" fontId="0" fillId="0" borderId="0" xfId="0" applyNumberFormat="1" applyAlignment="1">
      <alignment vertical="top" wrapText="1"/>
    </xf>
    <xf numFmtId="9" fontId="8" fillId="0" borderId="0" xfId="0" applyNumberFormat="1" applyFont="1" applyAlignment="1">
      <alignment vertical="top" wrapText="1"/>
    </xf>
    <xf numFmtId="2" fontId="11" fillId="0" borderId="0" xfId="2" applyNumberFormat="1" applyAlignment="1">
      <alignment vertical="top" wrapText="1"/>
    </xf>
    <xf numFmtId="10" fontId="11" fillId="0" borderId="0" xfId="2" applyNumberFormat="1" applyAlignment="1">
      <alignment vertical="top" wrapText="1"/>
    </xf>
    <xf numFmtId="167" fontId="3" fillId="0" borderId="0" xfId="0" applyNumberFormat="1" applyFont="1" applyAlignment="1">
      <alignment vertical="top" wrapText="1"/>
    </xf>
    <xf numFmtId="164" fontId="4" fillId="0" borderId="0" xfId="2" applyNumberFormat="1" applyFont="1" applyAlignment="1">
      <alignment vertical="top" wrapText="1"/>
    </xf>
    <xf numFmtId="167" fontId="6" fillId="2" borderId="1" xfId="0" applyNumberFormat="1" applyFont="1" applyFill="1" applyBorder="1" applyAlignment="1">
      <alignment vertical="top" wrapText="1"/>
    </xf>
    <xf numFmtId="167" fontId="6" fillId="2" borderId="0" xfId="0" applyNumberFormat="1" applyFont="1" applyFill="1" applyAlignment="1">
      <alignment vertical="top" wrapText="1"/>
    </xf>
    <xf numFmtId="0" fontId="4" fillId="0" borderId="0" xfId="0" applyFont="1"/>
    <xf numFmtId="164" fontId="10" fillId="0" borderId="0" xfId="0" applyNumberFormat="1" applyFont="1" applyAlignment="1">
      <alignment vertical="top" wrapText="1"/>
    </xf>
    <xf numFmtId="168" fontId="3" fillId="0" borderId="0" xfId="0" applyNumberFormat="1" applyFont="1" applyAlignment="1">
      <alignment vertical="top" wrapText="1"/>
    </xf>
    <xf numFmtId="164" fontId="11" fillId="0" borderId="0" xfId="2" applyNumberFormat="1"/>
    <xf numFmtId="10" fontId="11" fillId="0" borderId="0" xfId="2" applyNumberFormat="1"/>
    <xf numFmtId="0" fontId="12" fillId="0" borderId="0" xfId="0" applyFont="1"/>
    <xf numFmtId="0" fontId="13" fillId="0" borderId="0" xfId="0" applyFont="1"/>
    <xf numFmtId="164" fontId="13" fillId="0" borderId="0" xfId="2" applyNumberFormat="1" applyFont="1"/>
    <xf numFmtId="41" fontId="0" fillId="0" borderId="0" xfId="0" applyNumberFormat="1"/>
    <xf numFmtId="41" fontId="13" fillId="0" borderId="0" xfId="0" applyNumberFormat="1" applyFont="1"/>
    <xf numFmtId="10" fontId="8" fillId="0" borderId="0" xfId="0" applyNumberFormat="1" applyFont="1" applyAlignment="1">
      <alignment vertical="top" wrapText="1"/>
    </xf>
    <xf numFmtId="10" fontId="4" fillId="0" borderId="0" xfId="0" applyNumberFormat="1" applyFont="1" applyAlignment="1">
      <alignment vertical="top" wrapText="1"/>
    </xf>
    <xf numFmtId="15" fontId="3" fillId="0" borderId="0" xfId="0" applyNumberFormat="1" applyFont="1" applyAlignment="1">
      <alignment vertical="top" wrapText="1"/>
    </xf>
    <xf numFmtId="0" fontId="0" fillId="0" borderId="0" xfId="0" applyAlignment="1">
      <alignment vertical="center" wrapText="1"/>
    </xf>
    <xf numFmtId="164" fontId="0" fillId="0" borderId="0" xfId="0" applyNumberFormat="1"/>
    <xf numFmtId="3" fontId="14" fillId="0" borderId="0" xfId="1" applyNumberFormat="1" applyFont="1" applyAlignment="1">
      <alignment vertical="top" wrapText="1"/>
    </xf>
  </cellXfs>
  <cellStyles count="3">
    <cellStyle name="Comma" xfId="1" builtinId="3"/>
    <cellStyle name="Normal" xfId="0" builtinId="0"/>
    <cellStyle name="Percent" xfId="2" builtinId="5"/>
  </cellStyles>
  <dxfs count="4">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4</xdr:col>
      <xdr:colOff>627529</xdr:colOff>
      <xdr:row>38</xdr:row>
      <xdr:rowOff>0</xdr:rowOff>
    </xdr:to>
    <xdr:sp macro="" textlink="">
      <xdr:nvSpPr>
        <xdr:cNvPr id="2" name="TextBox 1">
          <a:extLst>
            <a:ext uri="{FF2B5EF4-FFF2-40B4-BE49-F238E27FC236}">
              <a16:creationId xmlns:a16="http://schemas.microsoft.com/office/drawing/2014/main" id="{1E04AE89-04F9-1C7E-E9C2-B9FF97785698}"/>
            </a:ext>
          </a:extLst>
        </xdr:cNvPr>
        <xdr:cNvSpPr txBox="1"/>
      </xdr:nvSpPr>
      <xdr:spPr>
        <a:xfrm>
          <a:off x="0" y="5334000"/>
          <a:ext cx="5838264"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KE" sz="1400"/>
            <a:t>FY2025 NII growth was driven primarily by lower interest expenses on deposits and placements from banking institutions, supplemented by lower customer deposit costs and growth in government-securities income. Management attributed the improvement partly to lower funding and customer deposit rates, consistent with the changing interest-rate environment following CBK rate cuts. However, the sustainability of this benefit depends on future funding costs and the repricing of interest-earning assets.</a:t>
          </a:r>
        </a:p>
        <a:p>
          <a:endParaRPr lang="en-KE" sz="1100"/>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zoomScale="85" zoomScaleNormal="85" workbookViewId="0">
      <pane ySplit="1" topLeftCell="A2" activePane="bottomLeft" state="frozen"/>
      <selection pane="bottomLeft"/>
    </sheetView>
  </sheetViews>
  <sheetFormatPr defaultColWidth="8.5703125" defaultRowHeight="15" x14ac:dyDescent="0.25"/>
  <cols>
    <col min="1" max="1" width="40" customWidth="1"/>
    <col min="2" max="2" width="120" customWidth="1"/>
  </cols>
  <sheetData>
    <row r="1" spans="1:2" ht="27.75" customHeight="1" x14ac:dyDescent="0.25">
      <c r="A1" s="1" t="s">
        <v>0</v>
      </c>
      <c r="B1" s="2"/>
    </row>
    <row r="2" spans="1:2" ht="120" customHeight="1" x14ac:dyDescent="0.25">
      <c r="A2" s="3" t="s">
        <v>1</v>
      </c>
      <c r="B2" s="4" t="s">
        <v>275</v>
      </c>
    </row>
    <row r="3" spans="1:2" ht="60" customHeight="1" x14ac:dyDescent="0.25">
      <c r="A3" s="3" t="s">
        <v>2</v>
      </c>
      <c r="B3" s="4" t="s">
        <v>3</v>
      </c>
    </row>
    <row r="4" spans="1:2" ht="30" customHeight="1" x14ac:dyDescent="0.25">
      <c r="A4" s="3" t="s">
        <v>4</v>
      </c>
      <c r="B4" s="4" t="s">
        <v>5</v>
      </c>
    </row>
    <row r="5" spans="1:2" ht="60" customHeight="1" x14ac:dyDescent="0.25">
      <c r="A5" s="3" t="s">
        <v>6</v>
      </c>
      <c r="B5" s="4" t="s">
        <v>7</v>
      </c>
    </row>
    <row r="6" spans="1:2" ht="30" customHeight="1" x14ac:dyDescent="0.25">
      <c r="A6" s="3" t="s">
        <v>8</v>
      </c>
      <c r="B6" s="5" t="s">
        <v>276</v>
      </c>
    </row>
    <row r="7" spans="1:2" ht="30" customHeight="1" x14ac:dyDescent="0.25">
      <c r="A7" s="3" t="s">
        <v>277</v>
      </c>
      <c r="B7" s="4" t="s">
        <v>9</v>
      </c>
    </row>
    <row r="8" spans="1:2" ht="45" customHeight="1" x14ac:dyDescent="0.25">
      <c r="A8" s="3" t="s">
        <v>10</v>
      </c>
      <c r="B8" s="6" t="str">
        <f>Valuation!E11</f>
        <v>BUY</v>
      </c>
    </row>
    <row r="9" spans="1:2" ht="30" customHeight="1" x14ac:dyDescent="0.25">
      <c r="A9" s="3" t="s">
        <v>11</v>
      </c>
      <c r="B9" s="7">
        <f>Valuation!E6</f>
        <v>101.96736596736598</v>
      </c>
    </row>
    <row r="10" spans="1:2" ht="30" customHeight="1" x14ac:dyDescent="0.25">
      <c r="A10" s="3" t="s">
        <v>12</v>
      </c>
      <c r="B10" s="7">
        <f>Valuation!E7</f>
        <v>69</v>
      </c>
    </row>
    <row r="11" spans="1:2" ht="45" customHeight="1" x14ac:dyDescent="0.25">
      <c r="A11" s="3" t="s">
        <v>13</v>
      </c>
      <c r="B11" s="8">
        <f>Valuation!E8</f>
        <v>0.47778791257052144</v>
      </c>
    </row>
    <row r="12" spans="1:2" x14ac:dyDescent="0.25">
      <c r="A12" s="9" t="s">
        <v>14</v>
      </c>
      <c r="B12" s="10">
        <f>Valuation!E10</f>
        <v>0.54678791257052151</v>
      </c>
    </row>
    <row r="13" spans="1:2" x14ac:dyDescent="0.25">
      <c r="A13" s="11"/>
      <c r="B13" s="11"/>
    </row>
    <row r="14" spans="1:2" ht="60" customHeight="1" x14ac:dyDescent="0.25">
      <c r="A14" s="12" t="s">
        <v>15</v>
      </c>
      <c r="B14" s="11"/>
    </row>
    <row r="15" spans="1:2" ht="90" customHeight="1" x14ac:dyDescent="0.25">
      <c r="A15" s="11" t="s">
        <v>16</v>
      </c>
      <c r="B15" s="13" t="s">
        <v>278</v>
      </c>
    </row>
    <row r="16" spans="1:2" ht="90" customHeight="1" x14ac:dyDescent="0.25">
      <c r="A16" s="11" t="s">
        <v>17</v>
      </c>
      <c r="B16" s="13" t="s">
        <v>279</v>
      </c>
    </row>
    <row r="17" spans="1:2" ht="90" customHeight="1" x14ac:dyDescent="0.25">
      <c r="A17" s="11" t="s">
        <v>18</v>
      </c>
      <c r="B17" s="13" t="s">
        <v>280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election activeCell="B13" sqref="B13"/>
    </sheetView>
  </sheetViews>
  <sheetFormatPr defaultColWidth="8.5703125" defaultRowHeight="15" x14ac:dyDescent="0.25"/>
  <cols>
    <col min="1" max="1" width="44" customWidth="1"/>
    <col min="2" max="2" width="130" customWidth="1"/>
  </cols>
  <sheetData>
    <row r="1" spans="1:2" x14ac:dyDescent="0.25">
      <c r="A1" s="14" t="s">
        <v>19</v>
      </c>
      <c r="B1" s="14" t="s">
        <v>20</v>
      </c>
    </row>
    <row r="2" spans="1:2" ht="30" x14ac:dyDescent="0.25">
      <c r="A2" s="15" t="s">
        <v>21</v>
      </c>
      <c r="B2" s="13" t="s">
        <v>263</v>
      </c>
    </row>
    <row r="3" spans="1:2" ht="45" x14ac:dyDescent="0.25">
      <c r="A3" s="15" t="s">
        <v>10</v>
      </c>
      <c r="B3" s="66" t="s">
        <v>264</v>
      </c>
    </row>
    <row r="4" spans="1:2" ht="45" x14ac:dyDescent="0.25">
      <c r="A4" s="15" t="s">
        <v>265</v>
      </c>
      <c r="B4" s="66" t="s">
        <v>267</v>
      </c>
    </row>
    <row r="5" spans="1:2" ht="30" x14ac:dyDescent="0.25">
      <c r="A5" s="15" t="s">
        <v>266</v>
      </c>
      <c r="B5" s="66" t="s">
        <v>268</v>
      </c>
    </row>
    <row r="6" spans="1:2" ht="45" x14ac:dyDescent="0.25">
      <c r="A6" s="15" t="s">
        <v>269</v>
      </c>
      <c r="B6" s="66" t="s">
        <v>270</v>
      </c>
    </row>
    <row r="7" spans="1:2" ht="45" x14ac:dyDescent="0.25">
      <c r="A7" s="15" t="s">
        <v>22</v>
      </c>
      <c r="B7" s="66" t="s">
        <v>274</v>
      </c>
    </row>
    <row r="8" spans="1:2" ht="45" x14ac:dyDescent="0.25">
      <c r="A8" s="15" t="s">
        <v>23</v>
      </c>
      <c r="B8" s="66" t="s">
        <v>271</v>
      </c>
    </row>
    <row r="9" spans="1:2" ht="60" x14ac:dyDescent="0.25">
      <c r="A9" s="15" t="s">
        <v>272</v>
      </c>
      <c r="B9" s="66" t="s">
        <v>273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Normal="100" workbookViewId="0">
      <pane ySplit="1" topLeftCell="A2" activePane="bottomLeft" state="frozen"/>
      <selection pane="bottomLeft" activeCell="G10" sqref="G10"/>
    </sheetView>
  </sheetViews>
  <sheetFormatPr defaultColWidth="8.5703125" defaultRowHeight="15" x14ac:dyDescent="0.25"/>
  <cols>
    <col min="1" max="1" width="40" customWidth="1"/>
    <col min="2" max="5" width="16" customWidth="1"/>
    <col min="6" max="6" width="18" customWidth="1"/>
    <col min="7" max="7" width="70" customWidth="1"/>
  </cols>
  <sheetData>
    <row r="1" spans="1:7" ht="27.75" customHeight="1" x14ac:dyDescent="0.25">
      <c r="A1" s="16" t="s">
        <v>24</v>
      </c>
      <c r="B1" s="16" t="s">
        <v>25</v>
      </c>
      <c r="C1" s="16" t="s">
        <v>26</v>
      </c>
      <c r="D1" s="16" t="s">
        <v>27</v>
      </c>
      <c r="E1" s="16" t="s">
        <v>28</v>
      </c>
      <c r="F1" s="16" t="s">
        <v>29</v>
      </c>
      <c r="G1" s="16" t="s">
        <v>30</v>
      </c>
    </row>
    <row r="2" spans="1:7" ht="30" customHeight="1" x14ac:dyDescent="0.25">
      <c r="A2" s="11" t="s">
        <v>31</v>
      </c>
      <c r="B2" s="17">
        <v>1447011</v>
      </c>
      <c r="C2" s="17">
        <v>1821435</v>
      </c>
      <c r="D2" s="17">
        <v>1804624</v>
      </c>
      <c r="E2" s="17">
        <v>1970992</v>
      </c>
      <c r="F2" s="18">
        <f>((E2/D2)-1)</f>
        <v>9.2189841207919176E-2</v>
      </c>
      <c r="G2" s="13"/>
    </row>
    <row r="3" spans="1:7" x14ac:dyDescent="0.25">
      <c r="A3" s="11" t="s">
        <v>32</v>
      </c>
      <c r="B3" s="19">
        <v>751100</v>
      </c>
      <c r="C3" s="19">
        <v>947500</v>
      </c>
      <c r="D3" s="19">
        <v>896900</v>
      </c>
      <c r="E3" s="19">
        <v>956000</v>
      </c>
      <c r="F3" s="18">
        <f t="shared" ref="F3:F10" si="0">((E3/D3)-1)</f>
        <v>6.589363362693712E-2</v>
      </c>
      <c r="G3" s="13"/>
    </row>
    <row r="4" spans="1:7" x14ac:dyDescent="0.25">
      <c r="A4" s="11" t="s">
        <v>33</v>
      </c>
      <c r="B4" s="17">
        <v>1052162</v>
      </c>
      <c r="C4" s="17">
        <v>1358228</v>
      </c>
      <c r="D4" s="17">
        <v>1399648</v>
      </c>
      <c r="E4" s="17">
        <v>1455142</v>
      </c>
      <c r="F4" s="18">
        <f t="shared" si="0"/>
        <v>3.9648540204394234E-2</v>
      </c>
      <c r="G4" s="13"/>
    </row>
    <row r="5" spans="1:7" x14ac:dyDescent="0.25">
      <c r="A5" s="11" t="s">
        <v>34</v>
      </c>
      <c r="B5" s="17">
        <v>85999</v>
      </c>
      <c r="C5" s="17">
        <v>104803</v>
      </c>
      <c r="D5" s="20">
        <v>108710</v>
      </c>
      <c r="E5" s="17">
        <v>126939</v>
      </c>
      <c r="F5" s="18">
        <f t="shared" si="0"/>
        <v>0.16768466562413753</v>
      </c>
      <c r="G5" s="13"/>
    </row>
    <row r="6" spans="1:7" x14ac:dyDescent="0.25">
      <c r="A6" s="11" t="s">
        <v>35</v>
      </c>
      <c r="B6" s="20">
        <v>59936</v>
      </c>
      <c r="C6" s="20">
        <v>76881</v>
      </c>
      <c r="D6" s="20">
        <v>85072</v>
      </c>
      <c r="E6" s="20">
        <v>90801</v>
      </c>
      <c r="F6" s="18">
        <f t="shared" si="0"/>
        <v>6.7342956554448108E-2</v>
      </c>
      <c r="G6" s="13"/>
    </row>
    <row r="7" spans="1:7" x14ac:dyDescent="0.25">
      <c r="A7" s="11" t="s">
        <v>194</v>
      </c>
      <c r="B7" s="68">
        <f t="shared" ref="B7:C7" si="1">SUM(B5:B6)</f>
        <v>145935</v>
      </c>
      <c r="C7" s="68">
        <f t="shared" si="1"/>
        <v>181684</v>
      </c>
      <c r="D7" s="68">
        <f t="shared" ref="D7" si="2">SUM(D5:D6)</f>
        <v>193782</v>
      </c>
      <c r="E7" s="68">
        <f t="shared" ref="E7" si="3">SUM(E5:E6)</f>
        <v>217740</v>
      </c>
      <c r="F7" s="18">
        <f t="shared" si="0"/>
        <v>0.12363377403473996</v>
      </c>
      <c r="G7" s="13"/>
    </row>
    <row r="8" spans="1:7" ht="30" x14ac:dyDescent="0.25">
      <c r="A8" s="13" t="s">
        <v>195</v>
      </c>
      <c r="B8" s="17">
        <v>86091</v>
      </c>
      <c r="C8" s="17">
        <v>129804</v>
      </c>
      <c r="D8" s="17">
        <v>133042</v>
      </c>
      <c r="E8" s="17">
        <v>125625</v>
      </c>
      <c r="F8" s="18">
        <f t="shared" si="0"/>
        <v>-5.5749312247260319E-2</v>
      </c>
      <c r="G8" s="13"/>
    </row>
    <row r="9" spans="1:7" x14ac:dyDescent="0.25">
      <c r="A9" s="13" t="s">
        <v>44</v>
      </c>
      <c r="B9" s="17">
        <v>15414</v>
      </c>
      <c r="C9" s="17">
        <v>35590</v>
      </c>
      <c r="D9" s="17">
        <v>20176</v>
      </c>
      <c r="E9" s="17">
        <v>14486</v>
      </c>
      <c r="F9" s="18">
        <f t="shared" si="0"/>
        <v>-0.28201823949246629</v>
      </c>
      <c r="G9" s="13"/>
    </row>
    <row r="10" spans="1:7" ht="30" x14ac:dyDescent="0.25">
      <c r="A10" s="11" t="s">
        <v>196</v>
      </c>
      <c r="B10" s="21">
        <f>-(B8-B9)</f>
        <v>-70677</v>
      </c>
      <c r="C10" s="21">
        <f>-(C8-C9)</f>
        <v>-94214</v>
      </c>
      <c r="D10" s="21">
        <f t="shared" ref="D10:E10" si="4">-(D8-D9)</f>
        <v>-112866</v>
      </c>
      <c r="E10" s="21">
        <f t="shared" si="4"/>
        <v>-111139</v>
      </c>
      <c r="F10" s="18">
        <f t="shared" si="0"/>
        <v>-1.530133078163487E-2</v>
      </c>
      <c r="G10" s="13"/>
    </row>
    <row r="13" spans="1:7" x14ac:dyDescent="0.25">
      <c r="A13" s="11" t="s">
        <v>36</v>
      </c>
      <c r="B13" s="17">
        <v>59844</v>
      </c>
      <c r="C13" s="17">
        <v>51879</v>
      </c>
      <c r="D13" s="19">
        <v>60740</v>
      </c>
      <c r="E13" s="19">
        <v>92115</v>
      </c>
      <c r="F13" s="18">
        <f>((E13/D13)-1)</f>
        <v>0.51654593348699374</v>
      </c>
      <c r="G13" s="13"/>
    </row>
    <row r="14" spans="1:7" x14ac:dyDescent="0.25">
      <c r="A14" s="11" t="s">
        <v>37</v>
      </c>
      <c r="B14" s="17">
        <v>46103</v>
      </c>
      <c r="C14" s="17">
        <v>43737</v>
      </c>
      <c r="D14" s="19">
        <v>48823</v>
      </c>
      <c r="E14" s="19">
        <v>75548</v>
      </c>
      <c r="F14" s="18">
        <f t="shared" ref="F14:F15" si="5">((E14/D14)-1)</f>
        <v>0.54738545357720736</v>
      </c>
      <c r="G14" s="11"/>
    </row>
    <row r="15" spans="1:7" x14ac:dyDescent="0.25">
      <c r="A15" s="11" t="s">
        <v>38</v>
      </c>
      <c r="B15" s="17">
        <v>182211</v>
      </c>
      <c r="C15" s="17">
        <v>218135</v>
      </c>
      <c r="D15" s="19">
        <v>246866</v>
      </c>
      <c r="E15" s="19">
        <v>326103</v>
      </c>
      <c r="F15" s="18">
        <f t="shared" si="5"/>
        <v>0.32097170124683028</v>
      </c>
      <c r="G15" s="11"/>
    </row>
    <row r="16" spans="1:7" ht="30" x14ac:dyDescent="0.25">
      <c r="A16" s="11" t="s">
        <v>39</v>
      </c>
      <c r="B16" s="22">
        <f>B14/B15</f>
        <v>0.25301985061275117</v>
      </c>
      <c r="C16" s="22">
        <f>C14/((C15+B15)/2)</f>
        <v>0.21849600095917032</v>
      </c>
      <c r="D16" s="22">
        <f>D14/((D15+C15)/2)</f>
        <v>0.20999094625602957</v>
      </c>
      <c r="E16" s="22">
        <f>E14/((E15+D15)/2)</f>
        <v>0.26370711155402821</v>
      </c>
      <c r="F16" s="23">
        <f>(E16-D16)*100</f>
        <v>5.3716165297998639</v>
      </c>
      <c r="G16" s="13" t="s">
        <v>281</v>
      </c>
    </row>
    <row r="17" spans="1:7" ht="30" customHeight="1" x14ac:dyDescent="0.25">
      <c r="A17" s="11" t="s">
        <v>40</v>
      </c>
      <c r="B17" s="22">
        <f>B14/B2</f>
        <v>3.1860849710195704E-2</v>
      </c>
      <c r="C17" s="22">
        <f>C14/((C2+B2)/2)</f>
        <v>2.6763177363187274E-2</v>
      </c>
      <c r="D17" s="22">
        <f>D14/((D2+C2)/2)</f>
        <v>2.6928960615367814E-2</v>
      </c>
      <c r="E17" s="22">
        <f>E14/((E2+D2)/2)</f>
        <v>4.0018900227141746E-2</v>
      </c>
      <c r="F17" s="23">
        <f>(E17-D17)*100</f>
        <v>1.3089939611773933</v>
      </c>
      <c r="G17" s="13" t="s">
        <v>282</v>
      </c>
    </row>
    <row r="18" spans="1:7" x14ac:dyDescent="0.25">
      <c r="A18" s="11" t="s">
        <v>41</v>
      </c>
      <c r="B18" s="22">
        <f>(-B10/B7)</f>
        <v>0.48430465618254703</v>
      </c>
      <c r="C18" s="22">
        <f t="shared" ref="C18:E18" si="6">(-C10/C7)</f>
        <v>0.51855969705642768</v>
      </c>
      <c r="D18" s="22">
        <f t="shared" si="6"/>
        <v>0.58243799733721402</v>
      </c>
      <c r="E18" s="22">
        <f t="shared" si="6"/>
        <v>0.51042068522090567</v>
      </c>
      <c r="F18" s="23">
        <f>(E18-D18)*100</f>
        <v>-7.2017312116308352</v>
      </c>
      <c r="G18" s="13"/>
    </row>
    <row r="19" spans="1:7" x14ac:dyDescent="0.25">
      <c r="A19" s="11"/>
      <c r="B19" s="24"/>
      <c r="C19" s="24"/>
      <c r="D19" s="24"/>
      <c r="E19" s="24"/>
      <c r="F19" s="11"/>
      <c r="G19" s="11"/>
    </row>
    <row r="20" spans="1:7" x14ac:dyDescent="0.25">
      <c r="A20" s="11" t="s">
        <v>42</v>
      </c>
      <c r="B20" s="19">
        <v>63134</v>
      </c>
      <c r="C20" s="19">
        <v>114595</v>
      </c>
      <c r="D20" s="19">
        <v>121997</v>
      </c>
      <c r="E20" s="25">
        <v>110097</v>
      </c>
      <c r="F20" s="11"/>
      <c r="G20" s="13"/>
    </row>
    <row r="21" spans="1:7" x14ac:dyDescent="0.25">
      <c r="A21" s="11" t="s">
        <v>43</v>
      </c>
      <c r="B21" s="22">
        <f>B20/B3</f>
        <v>8.4055385434695776E-2</v>
      </c>
      <c r="C21" s="22">
        <f>C20/C3</f>
        <v>0.12094459102902375</v>
      </c>
      <c r="D21" s="22">
        <f>D20/D3</f>
        <v>0.13602073809789275</v>
      </c>
      <c r="E21" s="22">
        <f>E20/E3</f>
        <v>0.11516422594142259</v>
      </c>
      <c r="F21" s="23">
        <f>(E21-D21)*100</f>
        <v>-2.0856512156470162</v>
      </c>
      <c r="G21" s="13"/>
    </row>
    <row r="22" spans="1:7" x14ac:dyDescent="0.25">
      <c r="F22" s="11"/>
    </row>
    <row r="25" spans="1:7" x14ac:dyDescent="0.25">
      <c r="A25" s="13" t="s">
        <v>45</v>
      </c>
      <c r="B25" s="21">
        <f>B5+B6-B8-B13</f>
        <v>0</v>
      </c>
      <c r="C25" s="21">
        <f>C5+C6-C8-C13</f>
        <v>1</v>
      </c>
      <c r="D25" s="21">
        <f>D5+D6-D8-D13</f>
        <v>0</v>
      </c>
      <c r="E25" s="21">
        <f>E5+E6-E8-E13</f>
        <v>0</v>
      </c>
      <c r="G25" s="13" t="s">
        <v>46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zoomScale="92" zoomScaleNormal="100" workbookViewId="0">
      <pane ySplit="1" topLeftCell="A3" activePane="bottomLeft" state="frozen"/>
      <selection pane="bottomLeft" activeCell="F24" sqref="F24"/>
    </sheetView>
  </sheetViews>
  <sheetFormatPr defaultColWidth="8.5703125" defaultRowHeight="15" x14ac:dyDescent="0.25"/>
  <cols>
    <col min="1" max="1" width="42" customWidth="1"/>
    <col min="2" max="5" width="12" customWidth="1"/>
    <col min="6" max="6" width="95" customWidth="1"/>
  </cols>
  <sheetData>
    <row r="1" spans="1:6" ht="27.75" customHeight="1" x14ac:dyDescent="0.25">
      <c r="A1" s="16" t="s">
        <v>47</v>
      </c>
      <c r="B1" s="16" t="s">
        <v>25</v>
      </c>
      <c r="C1" s="16" t="s">
        <v>26</v>
      </c>
      <c r="D1" s="16" t="s">
        <v>27</v>
      </c>
      <c r="E1" s="16" t="s">
        <v>28</v>
      </c>
      <c r="F1" s="16" t="s">
        <v>48</v>
      </c>
    </row>
    <row r="2" spans="1:6" ht="30" x14ac:dyDescent="0.25">
      <c r="A2" s="11" t="s">
        <v>49</v>
      </c>
      <c r="B2" s="18"/>
      <c r="C2" s="22">
        <f>(Financials!C3/Financials!B3)-1</f>
        <v>0.2614831580348822</v>
      </c>
      <c r="D2" s="22">
        <f>(Financials!D3/Financials!C3)-1</f>
        <v>-5.3403693931398433E-2</v>
      </c>
      <c r="E2" s="22">
        <f>(Financials!E3/Financials!D3)-1</f>
        <v>6.589363362693712E-2</v>
      </c>
      <c r="F2" s="13" t="s">
        <v>50</v>
      </c>
    </row>
    <row r="3" spans="1:6" x14ac:dyDescent="0.25">
      <c r="A3" s="11" t="s">
        <v>51</v>
      </c>
      <c r="B3" s="18"/>
      <c r="C3" s="22">
        <f>(Financials!C4/Financials!B4)-1</f>
        <v>0.2908924671295865</v>
      </c>
      <c r="D3" s="22">
        <f>(Financials!D4/Financials!C4)-1</f>
        <v>3.0495616347181675E-2</v>
      </c>
      <c r="E3" s="22">
        <f>(Financials!E4/Financials!D4)-1</f>
        <v>3.9648540204394234E-2</v>
      </c>
      <c r="F3" s="13" t="s">
        <v>197</v>
      </c>
    </row>
    <row r="4" spans="1:6" ht="30" customHeight="1" x14ac:dyDescent="0.25">
      <c r="A4" s="11" t="s">
        <v>52</v>
      </c>
      <c r="B4" s="18"/>
      <c r="C4" s="22">
        <f>(Financials!C14/Financials!B14)-1</f>
        <v>-5.1319870724247929E-2</v>
      </c>
      <c r="D4" s="22">
        <f>(Financials!D14/Financials!C14)-1</f>
        <v>0.11628598212040142</v>
      </c>
      <c r="E4" s="22">
        <f>(Financials!E14/Financials!D14)-1</f>
        <v>0.54738545357720736</v>
      </c>
      <c r="F4" s="13" t="s">
        <v>198</v>
      </c>
    </row>
    <row r="5" spans="1:6" ht="45" x14ac:dyDescent="0.25">
      <c r="A5" s="11" t="s">
        <v>39</v>
      </c>
      <c r="B5" s="18">
        <f>Financials!B16</f>
        <v>0.25301985061275117</v>
      </c>
      <c r="C5" s="18">
        <f>Financials!C16</f>
        <v>0.21849600095917032</v>
      </c>
      <c r="D5" s="18">
        <f>Financials!D16</f>
        <v>0.20999094625602957</v>
      </c>
      <c r="E5" s="18">
        <f>Financials!E16</f>
        <v>0.26370711155402821</v>
      </c>
      <c r="F5" s="13" t="s">
        <v>53</v>
      </c>
    </row>
    <row r="6" spans="1:6" ht="30" x14ac:dyDescent="0.25">
      <c r="A6" s="11" t="s">
        <v>40</v>
      </c>
      <c r="B6" s="18">
        <f>Financials!B17</f>
        <v>3.1860849710195704E-2</v>
      </c>
      <c r="C6" s="18">
        <f>Financials!C17</f>
        <v>2.6763177363187274E-2</v>
      </c>
      <c r="D6" s="18">
        <f>Financials!D17</f>
        <v>2.6928960615367814E-2</v>
      </c>
      <c r="E6" s="18">
        <f>Financials!E17</f>
        <v>4.0018900227141746E-2</v>
      </c>
      <c r="F6" s="13" t="s">
        <v>283</v>
      </c>
    </row>
    <row r="7" spans="1:6" x14ac:dyDescent="0.25">
      <c r="A7" s="11" t="s">
        <v>43</v>
      </c>
      <c r="B7" s="18">
        <f>Financials!B21</f>
        <v>8.4055385434695776E-2</v>
      </c>
      <c r="C7" s="18">
        <f>Financials!C21</f>
        <v>0.12094459102902375</v>
      </c>
      <c r="D7" s="18">
        <f>Financials!D21</f>
        <v>0.13602073809789275</v>
      </c>
      <c r="E7" s="18">
        <f>Financials!E21</f>
        <v>0.11516422594142259</v>
      </c>
      <c r="F7" s="13" t="s">
        <v>284</v>
      </c>
    </row>
    <row r="8" spans="1:6" ht="30" x14ac:dyDescent="0.25">
      <c r="A8" s="11" t="s">
        <v>41</v>
      </c>
      <c r="B8" s="18">
        <f>Financials!B18</f>
        <v>0.48430465618254703</v>
      </c>
      <c r="C8" s="18">
        <f>Financials!C18</f>
        <v>0.51855969705642768</v>
      </c>
      <c r="D8" s="18">
        <f>Financials!D18</f>
        <v>0.58243799733721402</v>
      </c>
      <c r="E8" s="18">
        <f>Financials!E18</f>
        <v>0.51042068522090567</v>
      </c>
      <c r="F8" s="13" t="s">
        <v>285</v>
      </c>
    </row>
    <row r="9" spans="1:6" x14ac:dyDescent="0.25">
      <c r="A9" s="11" t="s">
        <v>54</v>
      </c>
      <c r="B9" s="26">
        <v>4</v>
      </c>
      <c r="C9" s="26">
        <v>4</v>
      </c>
      <c r="D9" s="26">
        <v>4.25</v>
      </c>
      <c r="E9" s="26">
        <v>5.75</v>
      </c>
      <c r="F9" s="13" t="s">
        <v>286</v>
      </c>
    </row>
    <row r="10" spans="1:6" x14ac:dyDescent="0.25">
      <c r="A10" s="13" t="s">
        <v>55</v>
      </c>
      <c r="B10" s="26">
        <v>11.9</v>
      </c>
      <c r="C10" s="26">
        <v>11.12</v>
      </c>
      <c r="D10" s="26">
        <v>12.34</v>
      </c>
      <c r="E10" s="26">
        <f>'Peer Valuation'!C2</f>
        <v>19.07</v>
      </c>
      <c r="F10" s="13"/>
    </row>
    <row r="11" spans="1:6" x14ac:dyDescent="0.25">
      <c r="A11" s="13" t="s">
        <v>56</v>
      </c>
      <c r="D11" s="10">
        <f>D9/D10</f>
        <v>0.34440842787682335</v>
      </c>
      <c r="E11" s="10">
        <f>E9/E10</f>
        <v>0.3015207131620346</v>
      </c>
      <c r="F11" s="13" t="s">
        <v>287</v>
      </c>
    </row>
    <row r="12" spans="1:6" ht="30" x14ac:dyDescent="0.25">
      <c r="A12" s="13" t="s">
        <v>57</v>
      </c>
      <c r="B12" s="10">
        <f>Financials!B9/Financials!B3</f>
        <v>2.0521901211556386E-2</v>
      </c>
      <c r="C12" s="10">
        <f>Financials!C9/AVERAGE(Financials!B3,Financials!C3)</f>
        <v>4.190509831626045E-2</v>
      </c>
      <c r="D12" s="10">
        <f>Financials!D9/AVERAGE(Financials!C3,Financials!D3)</f>
        <v>2.1878117545001085E-2</v>
      </c>
      <c r="E12" s="10">
        <f>Financials!E9/AVERAGE(Financials!D3,Financials!E3)</f>
        <v>1.5636030007016029E-2</v>
      </c>
      <c r="F12" s="13" t="s">
        <v>288</v>
      </c>
    </row>
    <row r="13" spans="1:6" x14ac:dyDescent="0.25">
      <c r="A13" s="13" t="s">
        <v>58</v>
      </c>
      <c r="B13" s="10">
        <f>Financials!B9/(Financials!B7)</f>
        <v>0.10562236612190359</v>
      </c>
      <c r="C13" s="10">
        <f>Financials!C9/(Financials!C7)</f>
        <v>0.19588956650007705</v>
      </c>
      <c r="D13" s="10">
        <f>Financials!D9/(Financials!D7)</f>
        <v>0.10411699745074363</v>
      </c>
      <c r="E13" s="10">
        <f>Financials!E9/(Financials!E7)</f>
        <v>6.6528887664186645E-2</v>
      </c>
      <c r="F13" s="13" t="s">
        <v>291</v>
      </c>
    </row>
    <row r="14" spans="1:6" ht="30" x14ac:dyDescent="0.25">
      <c r="A14" s="13" t="s">
        <v>294</v>
      </c>
      <c r="B14" s="10">
        <f>Financials!B5/Financials!B2</f>
        <v>5.9432167412687253E-2</v>
      </c>
      <c r="C14" s="10">
        <f>Financials!C5/AVERAGE(Financials!B2,Financials!C2)</f>
        <v>6.4130170729453692E-2</v>
      </c>
      <c r="D14" s="10">
        <f>Financials!D5/AVERAGE(Financials!C2,Financials!D2)</f>
        <v>5.996041432309844E-2</v>
      </c>
      <c r="E14" s="10">
        <f>Financials!E5/AVERAGE(Financials!D2,Financials!E2)</f>
        <v>6.724147794690985E-2</v>
      </c>
      <c r="F14" s="13" t="s">
        <v>290</v>
      </c>
    </row>
    <row r="15" spans="1:6" x14ac:dyDescent="0.25">
      <c r="A15" s="13" t="s">
        <v>59</v>
      </c>
      <c r="B15" s="10">
        <f>Financials!B3/Financials!B4</f>
        <v>0.71386345448704669</v>
      </c>
      <c r="C15" s="10">
        <f>Financials!C3/Financials!C4</f>
        <v>0.69760010837650233</v>
      </c>
      <c r="D15" s="10">
        <f>Financials!D3/Financials!D4</f>
        <v>0.64080397357049768</v>
      </c>
      <c r="E15" s="10">
        <f>Financials!E3/Financials!E4</f>
        <v>0.65698055584953219</v>
      </c>
      <c r="F15" s="13" t="s">
        <v>292</v>
      </c>
    </row>
    <row r="16" spans="1:6" x14ac:dyDescent="0.25">
      <c r="A16" s="13" t="s">
        <v>60</v>
      </c>
      <c r="C16" s="10">
        <f>Financials!C13/Financials!B13-1</f>
        <v>-0.13309604972929612</v>
      </c>
      <c r="D16" s="10">
        <f>Financials!D13/Financials!C13-1</f>
        <v>0.17080128761155766</v>
      </c>
      <c r="E16" s="10">
        <f>Financials!E13/Financials!D13-1</f>
        <v>0.51654593348699374</v>
      </c>
      <c r="F16" s="13" t="s">
        <v>289</v>
      </c>
    </row>
    <row r="17" spans="1:6" ht="30" x14ac:dyDescent="0.25">
      <c r="A17" s="13" t="s">
        <v>61</v>
      </c>
      <c r="B17" s="10">
        <f>Financials!B6/(Financials!B5+Financials!B6)</f>
        <v>0.41070339534724365</v>
      </c>
      <c r="C17" s="10">
        <f>Financials!C6/(Financials!C5+Financials!C6)</f>
        <v>0.42315779044935165</v>
      </c>
      <c r="D17" s="10">
        <f>Financials!D6/(Financials!D5+Financials!D6)</f>
        <v>0.43900878306550661</v>
      </c>
      <c r="E17" s="10">
        <f>Financials!E6/(Financials!E5+Financials!E6)</f>
        <v>0.41701570680628275</v>
      </c>
      <c r="F17" s="13" t="s">
        <v>293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zoomScaleNormal="100" workbookViewId="0">
      <pane ySplit="1" topLeftCell="A2" activePane="bottomLeft" state="frozen"/>
      <selection pane="bottomLeft" activeCell="E20" sqref="E20"/>
    </sheetView>
  </sheetViews>
  <sheetFormatPr defaultColWidth="8.5703125" defaultRowHeight="15" x14ac:dyDescent="0.25"/>
  <cols>
    <col min="1" max="1" width="42" customWidth="1"/>
    <col min="2" max="4" width="14" customWidth="1"/>
    <col min="5" max="5" width="100" customWidth="1"/>
  </cols>
  <sheetData>
    <row r="1" spans="1:5" x14ac:dyDescent="0.25">
      <c r="A1" s="14" t="s">
        <v>62</v>
      </c>
      <c r="B1" s="14" t="s">
        <v>63</v>
      </c>
      <c r="C1" s="14" t="s">
        <v>64</v>
      </c>
      <c r="D1" s="14" t="s">
        <v>65</v>
      </c>
      <c r="E1" s="14" t="s">
        <v>66</v>
      </c>
    </row>
    <row r="2" spans="1:5" x14ac:dyDescent="0.25">
      <c r="A2" s="28" t="s">
        <v>67</v>
      </c>
      <c r="B2" s="29">
        <f>Financials!B13</f>
        <v>59844</v>
      </c>
      <c r="C2" s="29">
        <f>Financials!C13</f>
        <v>51879</v>
      </c>
      <c r="D2" s="29">
        <f>Financials!D13</f>
        <v>60740</v>
      </c>
    </row>
    <row r="3" spans="1:5" x14ac:dyDescent="0.25">
      <c r="A3" s="13" t="s">
        <v>68</v>
      </c>
      <c r="B3" s="21">
        <f>Financials!C5-Financials!B5</f>
        <v>18804</v>
      </c>
      <c r="C3" s="21">
        <f>Financials!D5-Financials!C5</f>
        <v>3907</v>
      </c>
      <c r="D3" s="21">
        <f>Financials!E5-Financials!D5</f>
        <v>18229</v>
      </c>
      <c r="E3" s="13" t="s">
        <v>295</v>
      </c>
    </row>
    <row r="4" spans="1:5" x14ac:dyDescent="0.25">
      <c r="A4" s="13" t="s">
        <v>69</v>
      </c>
      <c r="B4" s="21">
        <f>Financials!C6-Financials!B6</f>
        <v>16945</v>
      </c>
      <c r="C4" s="21">
        <f>Financials!D6-Financials!C6</f>
        <v>8191</v>
      </c>
      <c r="D4" s="21">
        <f>Financials!E6-Financials!D6</f>
        <v>5729</v>
      </c>
      <c r="E4" s="13" t="s">
        <v>296</v>
      </c>
    </row>
    <row r="5" spans="1:5" x14ac:dyDescent="0.25">
      <c r="A5" s="13" t="s">
        <v>70</v>
      </c>
      <c r="B5" s="21">
        <f>Financials!C10-Financials!B10</f>
        <v>-23537</v>
      </c>
      <c r="C5" s="21">
        <f>Financials!D10-Financials!C10</f>
        <v>-18652</v>
      </c>
      <c r="D5" s="21">
        <f>Financials!E10-Financials!D10</f>
        <v>1727</v>
      </c>
      <c r="E5" s="13" t="s">
        <v>199</v>
      </c>
    </row>
    <row r="6" spans="1:5" ht="30" x14ac:dyDescent="0.25">
      <c r="A6" s="13" t="s">
        <v>71</v>
      </c>
      <c r="B6" s="21">
        <f>-(Financials!C9-Financials!B9)</f>
        <v>-20176</v>
      </c>
      <c r="C6" s="21">
        <f>-(Financials!D9-Financials!C9)</f>
        <v>15414</v>
      </c>
      <c r="D6" s="21">
        <f>-(Financials!E9-Financials!D9)</f>
        <v>5690</v>
      </c>
      <c r="E6" s="13" t="s">
        <v>297</v>
      </c>
    </row>
    <row r="7" spans="1:5" x14ac:dyDescent="0.25">
      <c r="A7" s="13" t="s">
        <v>72</v>
      </c>
      <c r="B7" s="21">
        <f>B8-B2-SUM(B3:B6)</f>
        <v>-1</v>
      </c>
      <c r="C7" s="21">
        <f>C8-C2-SUM(C3:C6)</f>
        <v>1</v>
      </c>
      <c r="D7" s="21">
        <f>D8-D2-SUM(D3:D6)</f>
        <v>0</v>
      </c>
    </row>
    <row r="8" spans="1:5" x14ac:dyDescent="0.25">
      <c r="A8" s="28" t="s">
        <v>73</v>
      </c>
      <c r="B8" s="29">
        <f>Financials!C13</f>
        <v>51879</v>
      </c>
      <c r="C8" s="29">
        <f>Financials!D13</f>
        <v>60740</v>
      </c>
      <c r="D8" s="29">
        <f>Financials!E13</f>
        <v>92115</v>
      </c>
    </row>
    <row r="9" spans="1:5" ht="30" x14ac:dyDescent="0.25">
      <c r="A9" s="28" t="s">
        <v>74</v>
      </c>
      <c r="B9" s="30">
        <f>B8-B2</f>
        <v>-7965</v>
      </c>
      <c r="C9" s="30">
        <f>C8-C2</f>
        <v>8861</v>
      </c>
      <c r="D9" s="30">
        <f>D8-D2</f>
        <v>31375</v>
      </c>
      <c r="E9" s="13" t="s">
        <v>298</v>
      </c>
    </row>
    <row r="11" spans="1:5" x14ac:dyDescent="0.25">
      <c r="A11" s="28" t="s">
        <v>200</v>
      </c>
      <c r="B11" s="59"/>
      <c r="C11" s="59"/>
      <c r="D11" s="60"/>
    </row>
    <row r="12" spans="1:5" x14ac:dyDescent="0.25">
      <c r="A12" s="13" t="s">
        <v>75</v>
      </c>
      <c r="D12" s="10">
        <f>D3/D$9</f>
        <v>0.58100398406374498</v>
      </c>
    </row>
    <row r="13" spans="1:5" x14ac:dyDescent="0.25">
      <c r="A13" s="13" t="s">
        <v>76</v>
      </c>
      <c r="D13" s="10">
        <f>D4/D$9</f>
        <v>0.182597609561753</v>
      </c>
    </row>
    <row r="14" spans="1:5" x14ac:dyDescent="0.25">
      <c r="A14" s="13" t="s">
        <v>77</v>
      </c>
      <c r="D14" s="10">
        <f>D5/D$9</f>
        <v>5.5043824701195218E-2</v>
      </c>
    </row>
    <row r="15" spans="1:5" x14ac:dyDescent="0.25">
      <c r="A15" s="13" t="s">
        <v>78</v>
      </c>
      <c r="D15" s="10">
        <f>D6/D$9</f>
        <v>0.18135458167330679</v>
      </c>
    </row>
    <row r="16" spans="1:5" x14ac:dyDescent="0.25">
      <c r="A16" s="13" t="s">
        <v>79</v>
      </c>
      <c r="D16" s="10">
        <f>D7/D$9</f>
        <v>0</v>
      </c>
    </row>
    <row r="17" spans="1:5" x14ac:dyDescent="0.25">
      <c r="A17" s="28" t="s">
        <v>80</v>
      </c>
      <c r="D17" s="31">
        <f>D12+D13</f>
        <v>0.76360159362549795</v>
      </c>
      <c r="E17" s="1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5450-0307-4AE0-9A9C-29B687266674}">
  <dimension ref="A1:G26"/>
  <sheetViews>
    <sheetView topLeftCell="A5" zoomScaleNormal="100" workbookViewId="0">
      <selection activeCell="I32" sqref="I32"/>
    </sheetView>
  </sheetViews>
  <sheetFormatPr defaultRowHeight="15" x14ac:dyDescent="0.25"/>
  <cols>
    <col min="1" max="1" width="47.42578125" bestFit="1" customWidth="1"/>
    <col min="2" max="2" width="9.42578125" bestFit="1" customWidth="1"/>
    <col min="3" max="3" width="11.85546875" bestFit="1" customWidth="1"/>
    <col min="4" max="5" width="9.42578125" bestFit="1" customWidth="1"/>
  </cols>
  <sheetData>
    <row r="1" spans="1:5" x14ac:dyDescent="0.25">
      <c r="A1" s="14" t="s">
        <v>62</v>
      </c>
      <c r="B1" s="16" t="s">
        <v>25</v>
      </c>
      <c r="C1" s="16" t="s">
        <v>26</v>
      </c>
      <c r="D1" s="16" t="s">
        <v>27</v>
      </c>
      <c r="E1" s="16" t="s">
        <v>28</v>
      </c>
    </row>
    <row r="2" spans="1:5" x14ac:dyDescent="0.25">
      <c r="A2" t="s">
        <v>201</v>
      </c>
    </row>
    <row r="3" spans="1:5" x14ac:dyDescent="0.25">
      <c r="A3" t="s">
        <v>204</v>
      </c>
      <c r="B3">
        <v>78232</v>
      </c>
      <c r="C3">
        <v>102263</v>
      </c>
      <c r="D3">
        <v>107672</v>
      </c>
      <c r="E3">
        <v>105884</v>
      </c>
    </row>
    <row r="4" spans="1:5" x14ac:dyDescent="0.25">
      <c r="A4" t="s">
        <v>205</v>
      </c>
      <c r="B4">
        <v>40024</v>
      </c>
      <c r="C4">
        <v>51405</v>
      </c>
      <c r="D4">
        <v>56481</v>
      </c>
      <c r="E4">
        <v>60964</v>
      </c>
    </row>
    <row r="5" spans="1:5" x14ac:dyDescent="0.25">
      <c r="A5" t="s">
        <v>206</v>
      </c>
      <c r="B5">
        <v>1215</v>
      </c>
      <c r="C5">
        <v>1871</v>
      </c>
      <c r="D5">
        <v>5514</v>
      </c>
      <c r="E5">
        <v>5963</v>
      </c>
    </row>
    <row r="6" spans="1:5" x14ac:dyDescent="0.25">
      <c r="A6" t="s">
        <v>207</v>
      </c>
      <c r="B6">
        <v>164</v>
      </c>
      <c r="C6">
        <v>454</v>
      </c>
      <c r="D6">
        <v>618</v>
      </c>
      <c r="E6">
        <v>827</v>
      </c>
    </row>
    <row r="7" spans="1:5" x14ac:dyDescent="0.25">
      <c r="A7" s="59" t="s">
        <v>201</v>
      </c>
      <c r="B7" s="62">
        <f t="shared" ref="B7:D7" si="0">SUM(B3:B6)</f>
        <v>119635</v>
      </c>
      <c r="C7" s="62">
        <f t="shared" si="0"/>
        <v>155993</v>
      </c>
      <c r="D7" s="62">
        <f t="shared" si="0"/>
        <v>170285</v>
      </c>
      <c r="E7" s="62">
        <f>SUM(E3:E6)</f>
        <v>173638</v>
      </c>
    </row>
    <row r="8" spans="1:5" x14ac:dyDescent="0.25">
      <c r="A8" s="58" t="s">
        <v>202</v>
      </c>
      <c r="B8" s="62"/>
      <c r="C8" s="62"/>
      <c r="D8" s="62"/>
      <c r="E8" s="62"/>
    </row>
    <row r="9" spans="1:5" x14ac:dyDescent="0.25">
      <c r="A9" s="58" t="s">
        <v>208</v>
      </c>
      <c r="B9" s="62">
        <v>22427</v>
      </c>
      <c r="C9" s="62">
        <v>33441</v>
      </c>
      <c r="D9" s="62">
        <v>48484</v>
      </c>
      <c r="E9" s="62">
        <v>35684</v>
      </c>
    </row>
    <row r="10" spans="1:5" x14ac:dyDescent="0.25">
      <c r="A10" s="58" t="s">
        <v>209</v>
      </c>
      <c r="B10" s="62">
        <v>2906</v>
      </c>
      <c r="C10" s="62">
        <v>4396</v>
      </c>
      <c r="D10" s="62">
        <v>4605</v>
      </c>
      <c r="E10" s="62">
        <v>1416</v>
      </c>
    </row>
    <row r="11" spans="1:5" x14ac:dyDescent="0.25">
      <c r="A11" s="58" t="s">
        <v>210</v>
      </c>
      <c r="B11" s="62">
        <v>8303</v>
      </c>
      <c r="C11" s="62">
        <v>13353</v>
      </c>
      <c r="D11" s="62">
        <v>8486</v>
      </c>
      <c r="E11" s="62">
        <v>9599</v>
      </c>
    </row>
    <row r="12" spans="1:5" x14ac:dyDescent="0.25">
      <c r="A12" s="59" t="s">
        <v>202</v>
      </c>
      <c r="B12" s="62">
        <f>SUM(B9:B11)</f>
        <v>33636</v>
      </c>
      <c r="C12" s="62">
        <f t="shared" ref="C12:E12" si="1">SUM(C9:C11)</f>
        <v>51190</v>
      </c>
      <c r="D12" s="62">
        <f t="shared" si="1"/>
        <v>61575</v>
      </c>
      <c r="E12" s="62">
        <f t="shared" si="1"/>
        <v>46699</v>
      </c>
    </row>
    <row r="13" spans="1:5" x14ac:dyDescent="0.25">
      <c r="A13" s="59" t="s">
        <v>203</v>
      </c>
      <c r="B13" s="62">
        <f>B7-B12</f>
        <v>85999</v>
      </c>
      <c r="C13" s="62">
        <f t="shared" ref="C13:E13" si="2">C7-C12</f>
        <v>104803</v>
      </c>
      <c r="D13" s="62">
        <f t="shared" si="2"/>
        <v>108710</v>
      </c>
      <c r="E13" s="62">
        <f t="shared" si="2"/>
        <v>126939</v>
      </c>
    </row>
    <row r="14" spans="1:5" x14ac:dyDescent="0.25">
      <c r="B14" s="61"/>
      <c r="C14" s="61"/>
      <c r="D14" s="61"/>
      <c r="E14" s="61"/>
    </row>
    <row r="15" spans="1:5" x14ac:dyDescent="0.25">
      <c r="B15" s="61"/>
      <c r="C15" s="61"/>
      <c r="D15" s="61"/>
      <c r="E15" s="61"/>
    </row>
    <row r="17" spans="1:7" x14ac:dyDescent="0.25">
      <c r="A17" t="s">
        <v>211</v>
      </c>
      <c r="C17" s="56">
        <f>(C3/B3)-1</f>
        <v>0.30717609162491044</v>
      </c>
      <c r="D17" s="56">
        <f t="shared" ref="D17:E17" si="3">(D3/C3)-1</f>
        <v>5.2893030714921352E-2</v>
      </c>
      <c r="E17" s="56">
        <f t="shared" si="3"/>
        <v>-1.6605988557842344E-2</v>
      </c>
    </row>
    <row r="18" spans="1:7" x14ac:dyDescent="0.25">
      <c r="A18" t="s">
        <v>212</v>
      </c>
      <c r="C18" s="56">
        <f t="shared" ref="C18:E18" si="4">(C4/B4)-1</f>
        <v>0.28435438736757934</v>
      </c>
      <c r="D18" s="56">
        <f t="shared" si="4"/>
        <v>9.8745258243361445E-2</v>
      </c>
      <c r="E18" s="56">
        <f t="shared" si="4"/>
        <v>7.9371824153255055E-2</v>
      </c>
    </row>
    <row r="19" spans="1:7" x14ac:dyDescent="0.25">
      <c r="A19" t="s">
        <v>213</v>
      </c>
      <c r="C19" s="56">
        <f t="shared" ref="C19:E19" si="5">(C5/B5)-1</f>
        <v>0.53991769547325097</v>
      </c>
      <c r="D19" s="56">
        <f t="shared" si="5"/>
        <v>1.9470871191876</v>
      </c>
      <c r="E19" s="56">
        <f t="shared" si="5"/>
        <v>8.1429089590134174E-2</v>
      </c>
    </row>
    <row r="20" spans="1:7" x14ac:dyDescent="0.25">
      <c r="A20" t="s">
        <v>214</v>
      </c>
      <c r="C20" s="56">
        <f t="shared" ref="C20:E20" si="6">(C6/B6)-1</f>
        <v>1.7682926829268291</v>
      </c>
      <c r="D20" s="56">
        <f t="shared" si="6"/>
        <v>0.36123348017621137</v>
      </c>
      <c r="E20" s="56">
        <f t="shared" si="6"/>
        <v>0.33818770226537209</v>
      </c>
    </row>
    <row r="21" spans="1:7" x14ac:dyDescent="0.25">
      <c r="A21" s="59" t="s">
        <v>215</v>
      </c>
      <c r="C21" s="56">
        <f t="shared" ref="C21:D21" si="7">(C7/B7)-1</f>
        <v>0.30390771931291005</v>
      </c>
      <c r="D21" s="56">
        <f t="shared" si="7"/>
        <v>9.1619495746604107E-2</v>
      </c>
      <c r="E21" s="56">
        <f>(E7/D7)-1</f>
        <v>1.9690518836068982E-2</v>
      </c>
    </row>
    <row r="22" spans="1:7" x14ac:dyDescent="0.25">
      <c r="A22" s="58" t="s">
        <v>208</v>
      </c>
      <c r="C22" s="56">
        <f>(C9/B9)-1</f>
        <v>0.49110447228786724</v>
      </c>
      <c r="D22" s="56">
        <f t="shared" ref="D22:E22" si="8">(D9/C9)-1</f>
        <v>0.44983702640471268</v>
      </c>
      <c r="E22" s="56">
        <f t="shared" si="8"/>
        <v>-0.26400462008085146</v>
      </c>
      <c r="G22" s="67"/>
    </row>
    <row r="23" spans="1:7" x14ac:dyDescent="0.25">
      <c r="A23" s="58" t="s">
        <v>209</v>
      </c>
      <c r="C23" s="56">
        <f t="shared" ref="C23:E23" si="9">(C10/B10)-1</f>
        <v>0.51273227804542332</v>
      </c>
      <c r="D23" s="56">
        <f t="shared" si="9"/>
        <v>4.754322111010012E-2</v>
      </c>
      <c r="E23" s="56">
        <f t="shared" si="9"/>
        <v>-0.69250814332247557</v>
      </c>
    </row>
    <row r="24" spans="1:7" x14ac:dyDescent="0.25">
      <c r="A24" s="58" t="s">
        <v>210</v>
      </c>
      <c r="C24" s="56">
        <f t="shared" ref="C24:E24" si="10">(C11/B11)-1</f>
        <v>0.60821389859087072</v>
      </c>
      <c r="D24" s="56">
        <f t="shared" si="10"/>
        <v>-0.3644873811128585</v>
      </c>
      <c r="E24" s="56">
        <f t="shared" si="10"/>
        <v>0.1311572000942729</v>
      </c>
    </row>
    <row r="25" spans="1:7" x14ac:dyDescent="0.25">
      <c r="A25" s="59" t="s">
        <v>202</v>
      </c>
      <c r="C25" s="56">
        <f t="shared" ref="C25:E25" si="11">(C12/B12)-1</f>
        <v>0.52188131763586632</v>
      </c>
      <c r="D25" s="56">
        <f t="shared" si="11"/>
        <v>0.20287165462004308</v>
      </c>
      <c r="E25" s="56">
        <f t="shared" si="11"/>
        <v>-0.24159155501421026</v>
      </c>
    </row>
    <row r="26" spans="1:7" x14ac:dyDescent="0.25">
      <c r="A26" s="59" t="s">
        <v>203</v>
      </c>
      <c r="C26" s="56">
        <f t="shared" ref="C26:D26" si="12">(C13/B13)-1</f>
        <v>0.21865370527564276</v>
      </c>
      <c r="D26" s="56">
        <f t="shared" si="12"/>
        <v>3.7279467190824755E-2</v>
      </c>
      <c r="E26" s="56">
        <f>(E13/D13)-1</f>
        <v>0.16768466562413753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
  <sheetViews>
    <sheetView zoomScaleNormal="100" workbookViewId="0">
      <pane ySplit="1" topLeftCell="A2" activePane="bottomLeft" state="frozen"/>
      <selection pane="bottomLeft" activeCell="H14" sqref="H14"/>
    </sheetView>
  </sheetViews>
  <sheetFormatPr defaultColWidth="8.5703125" defaultRowHeight="15" x14ac:dyDescent="0.25"/>
  <cols>
    <col min="1" max="1" width="16" customWidth="1"/>
    <col min="2" max="4" width="18" customWidth="1"/>
    <col min="5" max="5" width="22" customWidth="1"/>
    <col min="6" max="6" width="16" customWidth="1"/>
    <col min="7" max="7" width="20" customWidth="1"/>
    <col min="8" max="8" width="18" customWidth="1"/>
    <col min="9" max="9" width="70" customWidth="1"/>
    <col min="10" max="10" width="16" customWidth="1"/>
    <col min="11" max="11" width="14" customWidth="1"/>
    <col min="12" max="12" width="16" customWidth="1"/>
  </cols>
  <sheetData>
    <row r="1" spans="1:12" ht="27.75" customHeight="1" x14ac:dyDescent="0.25">
      <c r="A1" s="16" t="s">
        <v>81</v>
      </c>
      <c r="B1" s="16" t="s">
        <v>82</v>
      </c>
      <c r="C1" s="16" t="s">
        <v>83</v>
      </c>
      <c r="D1" s="16" t="s">
        <v>84</v>
      </c>
      <c r="E1" s="16" t="s">
        <v>85</v>
      </c>
      <c r="F1" s="16" t="s">
        <v>86</v>
      </c>
      <c r="G1" s="16" t="s">
        <v>87</v>
      </c>
      <c r="H1" s="16" t="s">
        <v>88</v>
      </c>
      <c r="I1" s="16" t="s">
        <v>66</v>
      </c>
      <c r="J1" s="14" t="s">
        <v>89</v>
      </c>
      <c r="K1" s="14" t="s">
        <v>90</v>
      </c>
      <c r="L1" s="14" t="s">
        <v>91</v>
      </c>
    </row>
    <row r="2" spans="1:12" ht="30" x14ac:dyDescent="0.25">
      <c r="A2" s="11">
        <v>2022</v>
      </c>
      <c r="B2" s="26">
        <v>52.75</v>
      </c>
      <c r="C2" s="26">
        <v>44.5</v>
      </c>
      <c r="D2" s="32">
        <v>1902.57</v>
      </c>
      <c r="E2" s="32">
        <v>1676.1</v>
      </c>
      <c r="F2" s="33">
        <f>(C2/B2)-1</f>
        <v>-0.15639810426540279</v>
      </c>
      <c r="G2" s="33">
        <f>(E2/D2)-1</f>
        <v>-0.11903372806256807</v>
      </c>
      <c r="H2" s="10">
        <f>F2-G2</f>
        <v>-3.7364376202834726E-2</v>
      </c>
      <c r="I2" s="13" t="s">
        <v>303</v>
      </c>
      <c r="J2" s="26">
        <v>3</v>
      </c>
      <c r="K2" s="10">
        <f>((C2+J2)/B2)-1</f>
        <v>-9.9526066350710929E-2</v>
      </c>
      <c r="L2" s="10">
        <f>K2-G2</f>
        <v>1.9507661711857138E-2</v>
      </c>
    </row>
    <row r="3" spans="1:12" ht="30" x14ac:dyDescent="0.25">
      <c r="A3" s="11">
        <v>2023</v>
      </c>
      <c r="B3" s="34">
        <f>C2</f>
        <v>44.5</v>
      </c>
      <c r="C3" s="26">
        <v>33.65</v>
      </c>
      <c r="D3" s="35">
        <f>E2</f>
        <v>1676.1</v>
      </c>
      <c r="E3" s="32">
        <v>1501.16</v>
      </c>
      <c r="F3" s="33">
        <f>(C3/B3)-1</f>
        <v>-0.24382022471910114</v>
      </c>
      <c r="G3" s="33">
        <f>(E3/D3)-1</f>
        <v>-0.10437324741960496</v>
      </c>
      <c r="H3" s="10">
        <f>F3-G3</f>
        <v>-0.13944697729949618</v>
      </c>
      <c r="I3" s="13" t="s">
        <v>299</v>
      </c>
      <c r="J3" s="27">
        <f>KPIs!B9</f>
        <v>4</v>
      </c>
      <c r="K3" s="10">
        <f t="shared" ref="K3:K5" si="0">((C3+J3)/B3)-1</f>
        <v>-0.15393258426966294</v>
      </c>
      <c r="L3" s="10">
        <f>K3-G3</f>
        <v>-4.9559336850057978E-2</v>
      </c>
    </row>
    <row r="4" spans="1:12" ht="30" x14ac:dyDescent="0.25">
      <c r="A4" s="11">
        <v>2024</v>
      </c>
      <c r="B4" s="34">
        <f>C3</f>
        <v>33.65</v>
      </c>
      <c r="C4" s="26">
        <v>48.3</v>
      </c>
      <c r="D4" s="35">
        <f>E3</f>
        <v>1501.16</v>
      </c>
      <c r="E4" s="32">
        <v>2010.65</v>
      </c>
      <c r="F4" s="33">
        <f>(C4/B4)-1</f>
        <v>0.43536404160475484</v>
      </c>
      <c r="G4" s="33">
        <f>(E4/D4)-1</f>
        <v>0.33939753257480887</v>
      </c>
      <c r="H4" s="10">
        <f>F4-G4</f>
        <v>9.5966509029945968E-2</v>
      </c>
      <c r="I4" s="13" t="s">
        <v>300</v>
      </c>
      <c r="J4" s="27">
        <f>KPIs!C9</f>
        <v>4</v>
      </c>
      <c r="K4" s="10">
        <f t="shared" si="0"/>
        <v>0.55423476968796437</v>
      </c>
      <c r="L4" s="10">
        <f>K4-G4</f>
        <v>0.2148372371131555</v>
      </c>
    </row>
    <row r="5" spans="1:12" ht="45" x14ac:dyDescent="0.25">
      <c r="A5" s="11">
        <v>2025</v>
      </c>
      <c r="B5" s="34">
        <f>C4</f>
        <v>48.3</v>
      </c>
      <c r="C5" s="26">
        <v>66.75</v>
      </c>
      <c r="D5" s="35">
        <f>E4</f>
        <v>2010.65</v>
      </c>
      <c r="E5" s="36">
        <v>3139.19</v>
      </c>
      <c r="F5" s="33">
        <f>(C5/B5)-1</f>
        <v>0.38198757763975166</v>
      </c>
      <c r="G5" s="33">
        <f>(E5/D5)-1</f>
        <v>0.56128117772859509</v>
      </c>
      <c r="H5" s="10">
        <f>F5-G5</f>
        <v>-0.17929360008884343</v>
      </c>
      <c r="I5" s="13" t="s">
        <v>301</v>
      </c>
      <c r="J5" s="27">
        <f>KPIs!D9</f>
        <v>4.25</v>
      </c>
      <c r="K5" s="10">
        <f t="shared" si="0"/>
        <v>0.46997929606625277</v>
      </c>
      <c r="L5" s="10">
        <f>K5-G5</f>
        <v>-9.1301881662342321E-2</v>
      </c>
    </row>
    <row r="6" spans="1:12" x14ac:dyDescent="0.25">
      <c r="A6" s="11"/>
      <c r="B6" s="11"/>
      <c r="C6" s="11"/>
      <c r="D6" s="11"/>
      <c r="E6" s="37"/>
      <c r="F6" s="11"/>
      <c r="G6" s="11"/>
      <c r="H6" s="11"/>
      <c r="I6" s="11"/>
    </row>
    <row r="7" spans="1:12" ht="30" x14ac:dyDescent="0.25">
      <c r="A7" s="28" t="s">
        <v>92</v>
      </c>
      <c r="B7" s="11"/>
      <c r="C7" s="11"/>
      <c r="D7" s="11"/>
      <c r="E7" s="11"/>
      <c r="F7" s="10">
        <f>C5/B2-1</f>
        <v>0.26540284360189581</v>
      </c>
      <c r="G7" s="10">
        <f>E5/D2-1</f>
        <v>0.64997345695559172</v>
      </c>
      <c r="H7" s="10">
        <f>F7-G7</f>
        <v>-0.38457061335369591</v>
      </c>
      <c r="I7" s="13" t="s">
        <v>302</v>
      </c>
      <c r="K7" s="10">
        <f>(1+K2)*(1+K3)*(1+K4)*(1+K5)-1</f>
        <v>0.74061993650756008</v>
      </c>
      <c r="L7" s="10">
        <f>K7-G7</f>
        <v>9.0646479551968362E-2</v>
      </c>
    </row>
    <row r="9" spans="1:12" x14ac:dyDescent="0.25">
      <c r="A9" s="38" t="s">
        <v>304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zoomScaleNormal="100" workbookViewId="0">
      <pane ySplit="1" topLeftCell="A2" activePane="bottomLeft" state="frozen"/>
      <selection pane="bottomLeft" activeCell="C26" sqref="C26"/>
    </sheetView>
  </sheetViews>
  <sheetFormatPr defaultColWidth="8.5703125" defaultRowHeight="15" x14ac:dyDescent="0.25"/>
  <cols>
    <col min="1" max="1" width="38" customWidth="1"/>
    <col min="2" max="2" width="28.42578125" bestFit="1" customWidth="1"/>
    <col min="3" max="8" width="16" customWidth="1"/>
    <col min="9" max="9" width="20" customWidth="1"/>
    <col min="10" max="10" width="90" customWidth="1"/>
  </cols>
  <sheetData>
    <row r="1" spans="1:10" ht="27.75" customHeight="1" x14ac:dyDescent="0.25">
      <c r="A1" s="16" t="s">
        <v>2</v>
      </c>
      <c r="B1" s="16" t="s">
        <v>231</v>
      </c>
      <c r="C1" s="16" t="s">
        <v>55</v>
      </c>
      <c r="D1" s="16" t="s">
        <v>93</v>
      </c>
      <c r="E1" s="16" t="s">
        <v>94</v>
      </c>
      <c r="F1" s="16" t="s">
        <v>95</v>
      </c>
      <c r="G1" s="16" t="s">
        <v>96</v>
      </c>
      <c r="H1" s="16" t="s">
        <v>97</v>
      </c>
      <c r="I1" s="16" t="s">
        <v>98</v>
      </c>
      <c r="J1" s="39" t="s">
        <v>99</v>
      </c>
    </row>
    <row r="2" spans="1:10" x14ac:dyDescent="0.25">
      <c r="A2" s="11" t="s">
        <v>100</v>
      </c>
      <c r="B2" s="26">
        <v>69</v>
      </c>
      <c r="C2" s="40">
        <v>19.07</v>
      </c>
      <c r="D2" s="34">
        <f>B2/C2</f>
        <v>3.6182485579444155</v>
      </c>
      <c r="E2" s="26">
        <v>82.02</v>
      </c>
      <c r="F2" s="34">
        <f>B2/E2</f>
        <v>0.84125822970007325</v>
      </c>
      <c r="G2" s="22">
        <f>Financials!E16</f>
        <v>0.26370711155402821</v>
      </c>
      <c r="H2" s="41">
        <v>5.75</v>
      </c>
      <c r="I2" s="22">
        <f>H2/B2</f>
        <v>8.3333333333333329E-2</v>
      </c>
      <c r="J2" s="13"/>
    </row>
    <row r="3" spans="1:10" x14ac:dyDescent="0.25">
      <c r="A3" s="11" t="s">
        <v>101</v>
      </c>
      <c r="B3" s="26">
        <v>67.75</v>
      </c>
      <c r="C3" s="40">
        <v>20.79</v>
      </c>
      <c r="D3" s="34">
        <f>B3/C3</f>
        <v>3.2587782587782588</v>
      </c>
      <c r="E3" s="26">
        <v>103.16</v>
      </c>
      <c r="F3" s="34">
        <f>B3/E3</f>
        <v>0.65674680108569217</v>
      </c>
      <c r="G3" s="42">
        <v>0.22500000000000001</v>
      </c>
      <c r="H3" s="43">
        <v>7</v>
      </c>
      <c r="I3" s="22">
        <f>H3/B3</f>
        <v>0.10332103321033211</v>
      </c>
      <c r="J3" s="13"/>
    </row>
    <row r="4" spans="1:10" x14ac:dyDescent="0.25">
      <c r="A4" s="11" t="s">
        <v>102</v>
      </c>
      <c r="B4" s="26">
        <v>27</v>
      </c>
      <c r="C4" s="40">
        <v>5.04</v>
      </c>
      <c r="D4" s="34">
        <f>B4/C4</f>
        <v>5.3571428571428568</v>
      </c>
      <c r="E4" s="26">
        <v>28.15</v>
      </c>
      <c r="F4" s="34">
        <f>B4/E4</f>
        <v>0.95914742451154533</v>
      </c>
      <c r="G4" s="42">
        <v>0.191</v>
      </c>
      <c r="H4" s="26">
        <v>2.5</v>
      </c>
      <c r="I4" s="22">
        <f>H4/B4</f>
        <v>9.2592592592592587E-2</v>
      </c>
      <c r="J4" s="13"/>
    </row>
    <row r="5" spans="1:10" x14ac:dyDescent="0.25">
      <c r="A5" s="11" t="s">
        <v>103</v>
      </c>
      <c r="B5" s="26">
        <v>90.75</v>
      </c>
      <c r="C5" s="40">
        <v>14.2</v>
      </c>
      <c r="D5" s="34">
        <f>B5/C5</f>
        <v>6.3908450704225359</v>
      </c>
      <c r="E5" s="26">
        <v>77.36</v>
      </c>
      <c r="F5" s="34">
        <f>B5/E5</f>
        <v>1.173086866597725</v>
      </c>
      <c r="G5" s="42">
        <v>0.19700000000000001</v>
      </c>
      <c r="H5" s="26">
        <v>7.1</v>
      </c>
      <c r="I5" s="22">
        <f>H5/B5</f>
        <v>7.8236914600550961E-2</v>
      </c>
      <c r="J5" s="13"/>
    </row>
    <row r="6" spans="1:10" x14ac:dyDescent="0.25">
      <c r="A6" s="28" t="s">
        <v>104</v>
      </c>
      <c r="D6" s="44">
        <f>MEDIAN(D3:D5)</f>
        <v>5.3571428571428568</v>
      </c>
      <c r="F6" s="44">
        <f>MEDIAN(F3:F5)</f>
        <v>0.95914742451154533</v>
      </c>
      <c r="G6" s="31">
        <f>MEDIAN(G3:G5)</f>
        <v>0.19700000000000001</v>
      </c>
      <c r="I6" s="31">
        <f>MEDIAN(I3:I5)</f>
        <v>9.2592592592592587E-2</v>
      </c>
      <c r="J6" s="13"/>
    </row>
    <row r="7" spans="1:10" x14ac:dyDescent="0.25">
      <c r="A7" s="28" t="s">
        <v>105</v>
      </c>
      <c r="D7" s="10">
        <f>D2/D6-1</f>
        <v>-0.32459360251704239</v>
      </c>
      <c r="F7" s="10">
        <f>F2/F6-1</f>
        <v>-0.12291040125714592</v>
      </c>
      <c r="G7" s="23">
        <f>(G2-G6)*100</f>
        <v>6.6707111554028202</v>
      </c>
      <c r="I7" s="23">
        <f>(I2-I6)*100</f>
        <v>-0.92592592592592582</v>
      </c>
      <c r="J7" s="13"/>
    </row>
    <row r="9" spans="1:10" x14ac:dyDescent="0.25">
      <c r="A9" s="38"/>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zoomScale="85" zoomScaleNormal="85" workbookViewId="0">
      <pane ySplit="1" topLeftCell="A2" activePane="bottomLeft" state="frozen"/>
      <selection pane="bottomLeft" activeCell="F26" sqref="F26"/>
    </sheetView>
  </sheetViews>
  <sheetFormatPr defaultColWidth="8.5703125" defaultRowHeight="15" x14ac:dyDescent="0.25"/>
  <cols>
    <col min="1" max="1" width="36" customWidth="1"/>
    <col min="2" max="2" width="28" customWidth="1"/>
    <col min="3" max="3" width="18" customWidth="1"/>
    <col min="4" max="4" width="25" customWidth="1"/>
    <col min="5" max="5" width="20" customWidth="1"/>
    <col min="6" max="6" width="14" customWidth="1"/>
    <col min="7" max="7" width="20" customWidth="1"/>
    <col min="8" max="8" width="100" customWidth="1"/>
  </cols>
  <sheetData>
    <row r="1" spans="1:8" ht="27.75" customHeight="1" x14ac:dyDescent="0.25">
      <c r="A1" s="16" t="s">
        <v>106</v>
      </c>
      <c r="B1" s="16" t="s">
        <v>24</v>
      </c>
      <c r="C1" s="16" t="s">
        <v>100</v>
      </c>
      <c r="D1" s="16" t="s">
        <v>107</v>
      </c>
      <c r="E1" s="16" t="s">
        <v>108</v>
      </c>
      <c r="F1" s="16"/>
      <c r="G1" s="16"/>
      <c r="H1" s="16" t="s">
        <v>99</v>
      </c>
    </row>
    <row r="2" spans="1:8" x14ac:dyDescent="0.25">
      <c r="A2" s="13" t="s">
        <v>113</v>
      </c>
      <c r="B2" s="13" t="s">
        <v>109</v>
      </c>
      <c r="C2" s="27">
        <f>'Peer Valuation'!E2</f>
        <v>82.02</v>
      </c>
      <c r="D2" s="49">
        <f>Scenarios!C5</f>
        <v>1.2432012432012434</v>
      </c>
      <c r="E2" s="27">
        <f>C2*D2</f>
        <v>101.96736596736598</v>
      </c>
      <c r="F2" s="46"/>
      <c r="G2" s="27"/>
      <c r="H2" s="13" t="s">
        <v>230</v>
      </c>
    </row>
    <row r="3" spans="1:8" x14ac:dyDescent="0.25">
      <c r="F3" s="46"/>
      <c r="G3" s="34"/>
    </row>
    <row r="4" spans="1:8" x14ac:dyDescent="0.25">
      <c r="F4" s="46"/>
      <c r="G4" s="34"/>
    </row>
    <row r="6" spans="1:8" x14ac:dyDescent="0.25">
      <c r="A6" s="11" t="s">
        <v>11</v>
      </c>
      <c r="B6" s="11"/>
      <c r="C6" s="11"/>
      <c r="D6" s="11"/>
      <c r="E6" s="44">
        <f>E2</f>
        <v>101.96736596736598</v>
      </c>
      <c r="F6" s="11"/>
      <c r="G6" s="11"/>
      <c r="H6" s="13"/>
    </row>
    <row r="7" spans="1:8" x14ac:dyDescent="0.25">
      <c r="A7" s="11" t="s">
        <v>12</v>
      </c>
      <c r="B7" s="11"/>
      <c r="C7" s="11"/>
      <c r="D7" s="11"/>
      <c r="E7" s="27">
        <f>'Peer Valuation'!B2</f>
        <v>69</v>
      </c>
      <c r="F7" s="11"/>
      <c r="G7" s="11"/>
      <c r="H7" s="65">
        <v>46112</v>
      </c>
    </row>
    <row r="8" spans="1:8" x14ac:dyDescent="0.25">
      <c r="A8" s="11" t="s">
        <v>13</v>
      </c>
      <c r="B8" s="11"/>
      <c r="C8" s="11"/>
      <c r="D8" s="11"/>
      <c r="E8" s="50">
        <f>(E6-E7)/E7</f>
        <v>0.47778791257052144</v>
      </c>
      <c r="F8" s="11"/>
      <c r="G8" s="11"/>
      <c r="H8" s="11"/>
    </row>
    <row r="9" spans="1:8" x14ac:dyDescent="0.25">
      <c r="A9" s="13" t="s">
        <v>232</v>
      </c>
      <c r="E9" s="56">
        <v>6.9000000000000006E-2</v>
      </c>
      <c r="H9" t="s">
        <v>233</v>
      </c>
    </row>
    <row r="10" spans="1:8" x14ac:dyDescent="0.25">
      <c r="A10" s="28" t="s">
        <v>114</v>
      </c>
      <c r="E10" s="31">
        <f>E8+E9</f>
        <v>0.54678791257052151</v>
      </c>
      <c r="H10" s="13"/>
    </row>
    <row r="11" spans="1:8" x14ac:dyDescent="0.25">
      <c r="A11" s="28" t="s">
        <v>115</v>
      </c>
      <c r="E11" s="28" t="str">
        <f>IF(E8&gt;=E12,"BUY",IF(E8&lt;=E13,"SELL","HOLD"))</f>
        <v>BUY</v>
      </c>
      <c r="H11" s="13" t="s">
        <v>116</v>
      </c>
    </row>
    <row r="12" spans="1:8" x14ac:dyDescent="0.25">
      <c r="A12" s="13" t="s">
        <v>117</v>
      </c>
      <c r="E12" s="46">
        <v>0.15</v>
      </c>
    </row>
    <row r="13" spans="1:8" x14ac:dyDescent="0.25">
      <c r="A13" s="13" t="s">
        <v>118</v>
      </c>
      <c r="E13" s="46">
        <v>-0.1</v>
      </c>
    </row>
    <row r="18" spans="1:8" x14ac:dyDescent="0.25">
      <c r="A18" s="59" t="s">
        <v>305</v>
      </c>
    </row>
    <row r="19" spans="1:8" x14ac:dyDescent="0.25">
      <c r="A19" s="11" t="s">
        <v>95</v>
      </c>
      <c r="B19" s="11" t="s">
        <v>109</v>
      </c>
      <c r="C19" s="34">
        <f>'Peer Valuation'!E2</f>
        <v>82.02</v>
      </c>
      <c r="D19" s="45">
        <f>MEDIAN('Peer Valuation'!F3:F5)</f>
        <v>0.95914742451154533</v>
      </c>
      <c r="E19" s="34">
        <f>C19*D19</f>
        <v>78.669271758436949</v>
      </c>
      <c r="H19" s="13"/>
    </row>
    <row r="20" spans="1:8" x14ac:dyDescent="0.25">
      <c r="A20" s="11" t="s">
        <v>93</v>
      </c>
      <c r="B20" s="11" t="s">
        <v>110</v>
      </c>
      <c r="C20" s="34">
        <f>'Peer Valuation'!C2</f>
        <v>19.07</v>
      </c>
      <c r="D20" s="45">
        <f>MEDIAN('Peer Valuation'!D3:D5)</f>
        <v>5.3571428571428568</v>
      </c>
      <c r="E20" s="34">
        <f>C20*D20</f>
        <v>102.16071428571428</v>
      </c>
      <c r="H20" s="13"/>
    </row>
    <row r="21" spans="1:8" x14ac:dyDescent="0.25">
      <c r="A21" s="11" t="s">
        <v>111</v>
      </c>
      <c r="B21" s="11" t="s">
        <v>112</v>
      </c>
      <c r="C21" s="47">
        <f>'Peer Valuation'!H2</f>
        <v>5.75</v>
      </c>
      <c r="D21" s="48">
        <f>MEDIAN('Peer Valuation'!I3:I5)</f>
        <v>9.2592592592592587E-2</v>
      </c>
      <c r="E21" s="34">
        <f>C21/D21</f>
        <v>62.1</v>
      </c>
      <c r="H21" s="13"/>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8"/>
  <sheetViews>
    <sheetView zoomScale="85" zoomScaleNormal="85" workbookViewId="0">
      <pane ySplit="1" topLeftCell="A2" activePane="bottomLeft" state="frozen"/>
      <selection pane="bottomLeft" activeCell="E42" sqref="E42"/>
    </sheetView>
  </sheetViews>
  <sheetFormatPr defaultColWidth="8.5703125" defaultRowHeight="15" x14ac:dyDescent="0.25"/>
  <cols>
    <col min="1" max="1" width="46" customWidth="1"/>
    <col min="2" max="4" width="14" customWidth="1"/>
    <col min="5" max="5" width="107" bestFit="1" customWidth="1"/>
    <col min="6" max="6" width="138" bestFit="1" customWidth="1"/>
  </cols>
  <sheetData>
    <row r="1" spans="1:5" x14ac:dyDescent="0.25">
      <c r="A1" s="14" t="s">
        <v>119</v>
      </c>
      <c r="B1" s="14" t="s">
        <v>120</v>
      </c>
      <c r="C1" s="14" t="s">
        <v>121</v>
      </c>
      <c r="D1" s="14" t="s">
        <v>122</v>
      </c>
      <c r="E1" s="14" t="s">
        <v>99</v>
      </c>
    </row>
    <row r="2" spans="1:5" ht="30" x14ac:dyDescent="0.25">
      <c r="A2" s="13" t="s">
        <v>123</v>
      </c>
      <c r="B2" s="42">
        <v>0.18</v>
      </c>
      <c r="C2" s="42">
        <v>0.22</v>
      </c>
      <c r="D2" s="42">
        <v>0.25</v>
      </c>
      <c r="E2" s="13" t="s">
        <v>228</v>
      </c>
    </row>
    <row r="3" spans="1:5" x14ac:dyDescent="0.25">
      <c r="A3" s="13" t="s">
        <v>124</v>
      </c>
      <c r="B3" s="10">
        <f>C3+$B$25</f>
        <v>0.20869999999999997</v>
      </c>
      <c r="C3" s="10">
        <f>B24</f>
        <v>0.18869999999999998</v>
      </c>
      <c r="D3" s="10">
        <f>C3-$B$25</f>
        <v>0.16869999999999999</v>
      </c>
      <c r="E3" s="13"/>
    </row>
    <row r="4" spans="1:5" x14ac:dyDescent="0.25">
      <c r="A4" s="13" t="s">
        <v>125</v>
      </c>
      <c r="B4" s="42">
        <v>0.05</v>
      </c>
      <c r="C4" s="42">
        <v>0.06</v>
      </c>
      <c r="D4" s="42">
        <v>6.5000000000000002E-2</v>
      </c>
      <c r="E4" s="13" t="s">
        <v>126</v>
      </c>
    </row>
    <row r="5" spans="1:5" x14ac:dyDescent="0.25">
      <c r="A5" s="13" t="s">
        <v>127</v>
      </c>
      <c r="B5" s="49">
        <f>(B2-B4)/(B3-B4)</f>
        <v>0.81915563957151882</v>
      </c>
      <c r="C5" s="49">
        <f>(C2-C4)/(C3-C4)</f>
        <v>1.2432012432012434</v>
      </c>
      <c r="D5" s="49">
        <f>(D2-D4)/(D3-D4)</f>
        <v>1.783992285438766</v>
      </c>
      <c r="E5" s="13" t="s">
        <v>128</v>
      </c>
    </row>
    <row r="6" spans="1:5" x14ac:dyDescent="0.25">
      <c r="A6" s="13" t="s">
        <v>129</v>
      </c>
      <c r="B6" s="27">
        <f>'Peer Valuation'!$E$2</f>
        <v>82.02</v>
      </c>
      <c r="C6" s="27">
        <f>'Peer Valuation'!$E$2</f>
        <v>82.02</v>
      </c>
      <c r="D6" s="27">
        <f>'Peer Valuation'!$E$2</f>
        <v>82.02</v>
      </c>
    </row>
    <row r="7" spans="1:5" x14ac:dyDescent="0.25">
      <c r="A7" s="13" t="s">
        <v>130</v>
      </c>
      <c r="B7" s="44">
        <f>B5*B6</f>
        <v>67.187145557655967</v>
      </c>
      <c r="C7" s="44">
        <f>C5*C6</f>
        <v>101.96736596736598</v>
      </c>
      <c r="D7" s="44">
        <f>D5*D6</f>
        <v>146.32304725168757</v>
      </c>
      <c r="E7" s="13"/>
    </row>
    <row r="8" spans="1:5" x14ac:dyDescent="0.25">
      <c r="A8" s="13" t="s">
        <v>131</v>
      </c>
      <c r="B8" s="10">
        <f>B7/'Peer Valuation'!$B$2-1</f>
        <v>-2.6273252787594736E-2</v>
      </c>
      <c r="C8" s="10">
        <f>C7/'Peer Valuation'!$B$2-1</f>
        <v>0.47778791257052133</v>
      </c>
      <c r="D8" s="10">
        <f>D7/'Peer Valuation'!$B$2-1</f>
        <v>1.1206238732128635</v>
      </c>
    </row>
    <row r="13" spans="1:5" x14ac:dyDescent="0.25">
      <c r="B13" s="10">
        <f>B10/Financials!$E$15</f>
        <v>0</v>
      </c>
      <c r="C13" s="10">
        <f>C10/Financials!$E$15</f>
        <v>0</v>
      </c>
      <c r="D13" s="10">
        <f>D10/Financials!$E$15</f>
        <v>0</v>
      </c>
    </row>
    <row r="16" spans="1:5" x14ac:dyDescent="0.25">
      <c r="A16" s="28" t="s">
        <v>132</v>
      </c>
    </row>
    <row r="17" spans="1:6" x14ac:dyDescent="0.25">
      <c r="A17" s="28" t="s">
        <v>133</v>
      </c>
    </row>
    <row r="18" spans="1:6" x14ac:dyDescent="0.25">
      <c r="A18" s="13" t="s">
        <v>222</v>
      </c>
      <c r="B18" s="57">
        <v>0.113</v>
      </c>
      <c r="E18" s="13" t="s">
        <v>221</v>
      </c>
    </row>
    <row r="19" spans="1:6" x14ac:dyDescent="0.25">
      <c r="A19" s="13" t="s">
        <v>218</v>
      </c>
      <c r="B19" s="57">
        <v>6.3700000000000007E-2</v>
      </c>
      <c r="E19" t="s">
        <v>223</v>
      </c>
    </row>
    <row r="20" spans="1:6" x14ac:dyDescent="0.25">
      <c r="A20" s="13" t="s">
        <v>219</v>
      </c>
      <c r="B20" s="57">
        <f>B18-B19</f>
        <v>4.9299999999999997E-2</v>
      </c>
      <c r="E20" t="s">
        <v>224</v>
      </c>
    </row>
    <row r="21" spans="1:6" x14ac:dyDescent="0.25">
      <c r="A21" s="13" t="s">
        <v>220</v>
      </c>
      <c r="B21" s="57">
        <v>4.2299999999999997E-2</v>
      </c>
      <c r="E21" t="s">
        <v>225</v>
      </c>
    </row>
    <row r="22" spans="1:6" x14ac:dyDescent="0.25">
      <c r="A22" s="13" t="s">
        <v>134</v>
      </c>
      <c r="B22" s="26">
        <v>1</v>
      </c>
      <c r="E22" t="s">
        <v>216</v>
      </c>
    </row>
    <row r="23" spans="1:6" x14ac:dyDescent="0.25">
      <c r="A23" s="13" t="s">
        <v>217</v>
      </c>
      <c r="B23" s="63">
        <v>9.7100000000000006E-2</v>
      </c>
      <c r="E23" t="s">
        <v>226</v>
      </c>
      <c r="F23" t="s">
        <v>229</v>
      </c>
    </row>
    <row r="24" spans="1:6" x14ac:dyDescent="0.25">
      <c r="A24" s="28" t="s">
        <v>135</v>
      </c>
      <c r="B24" s="64">
        <f>B20+(B22*B21)+B23</f>
        <v>0.18869999999999998</v>
      </c>
    </row>
    <row r="25" spans="1:6" x14ac:dyDescent="0.25">
      <c r="A25" s="13" t="s">
        <v>136</v>
      </c>
      <c r="B25" s="42">
        <v>0.02</v>
      </c>
      <c r="E25" t="s">
        <v>227</v>
      </c>
    </row>
    <row r="27" spans="1:6" x14ac:dyDescent="0.25">
      <c r="A27" s="28" t="s">
        <v>137</v>
      </c>
      <c r="B27" s="31">
        <f>C4+'Peer Valuation'!F2*(C3-C4)</f>
        <v>0.16826993416239941</v>
      </c>
    </row>
    <row r="28" spans="1:6" x14ac:dyDescent="0.25">
      <c r="A28" s="13" t="s">
        <v>138</v>
      </c>
      <c r="B28" s="10">
        <f>Financials!E16</f>
        <v>0.26370711155402821</v>
      </c>
      <c r="E28" s="13"/>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zoomScaleNormal="100" workbookViewId="0">
      <pane ySplit="1" topLeftCell="A2" activePane="bottomLeft" state="frozen"/>
      <selection pane="bottomLeft" activeCell="G26" sqref="G26"/>
    </sheetView>
  </sheetViews>
  <sheetFormatPr defaultColWidth="8.5703125" defaultRowHeight="15" x14ac:dyDescent="0.25"/>
  <cols>
    <col min="1" max="1" width="30" customWidth="1"/>
    <col min="2" max="8" width="11" customWidth="1"/>
  </cols>
  <sheetData>
    <row r="1" spans="1:8" ht="27.75" customHeight="1" x14ac:dyDescent="0.25">
      <c r="A1" s="16" t="s">
        <v>139</v>
      </c>
      <c r="B1" s="51">
        <v>0.6</v>
      </c>
      <c r="C1" s="51">
        <v>0.7</v>
      </c>
      <c r="D1" s="51">
        <v>0.8</v>
      </c>
      <c r="E1" s="51">
        <v>0.85</v>
      </c>
      <c r="F1" s="51">
        <v>0.9</v>
      </c>
      <c r="G1" s="52">
        <v>1</v>
      </c>
      <c r="H1" s="52">
        <v>1.1000000000000001</v>
      </c>
    </row>
    <row r="2" spans="1:8" x14ac:dyDescent="0.25">
      <c r="A2" s="11" t="s">
        <v>140</v>
      </c>
      <c r="B2" s="34">
        <f>'Peer Valuation'!$E$2</f>
        <v>82.02</v>
      </c>
      <c r="C2" s="34">
        <f>'Peer Valuation'!$E$2</f>
        <v>82.02</v>
      </c>
      <c r="D2" s="34">
        <f>'Peer Valuation'!$E$2</f>
        <v>82.02</v>
      </c>
      <c r="E2" s="34">
        <f>'Peer Valuation'!$E$2</f>
        <v>82.02</v>
      </c>
      <c r="F2" s="34">
        <f>'Peer Valuation'!$E$2</f>
        <v>82.02</v>
      </c>
      <c r="G2" s="34">
        <f>'Peer Valuation'!$E$2</f>
        <v>82.02</v>
      </c>
      <c r="H2" s="34">
        <f>'Peer Valuation'!$E$2</f>
        <v>82.02</v>
      </c>
    </row>
    <row r="3" spans="1:8" x14ac:dyDescent="0.25">
      <c r="A3" s="11" t="s">
        <v>141</v>
      </c>
      <c r="B3" s="27">
        <f t="shared" ref="B3:H3" si="0">B1*B2</f>
        <v>49.211999999999996</v>
      </c>
      <c r="C3" s="27">
        <f t="shared" si="0"/>
        <v>57.413999999999994</v>
      </c>
      <c r="D3" s="27">
        <f t="shared" si="0"/>
        <v>65.616</v>
      </c>
      <c r="E3" s="27">
        <f t="shared" si="0"/>
        <v>69.716999999999999</v>
      </c>
      <c r="F3" s="27">
        <f t="shared" si="0"/>
        <v>73.817999999999998</v>
      </c>
      <c r="G3" s="27">
        <f t="shared" si="0"/>
        <v>82.02</v>
      </c>
      <c r="H3" s="27">
        <f t="shared" si="0"/>
        <v>90.222000000000008</v>
      </c>
    </row>
    <row r="4" spans="1:8" x14ac:dyDescent="0.25">
      <c r="A4" s="13" t="s">
        <v>131</v>
      </c>
      <c r="B4" s="10">
        <f>B3/'Peer Valuation'!$B$2-1</f>
        <v>-0.2867826086956522</v>
      </c>
      <c r="C4" s="10">
        <f>C3/'Peer Valuation'!$B$2-1</f>
        <v>-0.16791304347826097</v>
      </c>
      <c r="D4" s="10">
        <f>D3/'Peer Valuation'!$B$2-1</f>
        <v>-4.9043478260869522E-2</v>
      </c>
      <c r="E4" s="10">
        <f>E3/'Peer Valuation'!$B$2-1</f>
        <v>1.0391304347826091E-2</v>
      </c>
      <c r="F4" s="10">
        <f>F3/'Peer Valuation'!$B$2-1</f>
        <v>6.9826086956521705E-2</v>
      </c>
      <c r="G4" s="10">
        <f>G3/'Peer Valuation'!$B$2-1</f>
        <v>0.18869565217391293</v>
      </c>
      <c r="H4" s="10">
        <f>H3/'Peer Valuation'!$B$2-1</f>
        <v>0.30756521739130438</v>
      </c>
    </row>
    <row r="5" spans="1:8" x14ac:dyDescent="0.25">
      <c r="A5" s="11"/>
      <c r="B5" s="11"/>
      <c r="C5" s="11"/>
      <c r="D5" s="11"/>
      <c r="E5" s="11"/>
      <c r="F5" s="11"/>
    </row>
    <row r="7" spans="1:8" x14ac:dyDescent="0.25">
      <c r="A7" s="53" t="s">
        <v>142</v>
      </c>
    </row>
    <row r="8" spans="1:8" x14ac:dyDescent="0.25">
      <c r="A8" s="28" t="s">
        <v>143</v>
      </c>
      <c r="B8" s="54">
        <v>0.16</v>
      </c>
      <c r="C8" s="54">
        <v>0.17</v>
      </c>
      <c r="D8" s="54">
        <v>0.18</v>
      </c>
      <c r="E8" s="54">
        <v>0.19</v>
      </c>
      <c r="F8" s="54">
        <v>0.2</v>
      </c>
    </row>
    <row r="9" spans="1:8" x14ac:dyDescent="0.25">
      <c r="A9" s="54">
        <v>0.14000000000000001</v>
      </c>
      <c r="B9" s="55">
        <f>($A9-Scenarios!$C$4)/(B$8-Scenarios!$C$4)*'Peer Valuation'!$E$2</f>
        <v>65.616000000000014</v>
      </c>
      <c r="C9" s="55">
        <f>($A9-Scenarios!$C$4)/(C$8-Scenarios!$C$4)*'Peer Valuation'!$E$2</f>
        <v>59.650909090909089</v>
      </c>
      <c r="D9" s="55">
        <f>($A9-Scenarios!$C$4)/(D$8-Scenarios!$C$4)*'Peer Valuation'!$E$2</f>
        <v>54.680000000000014</v>
      </c>
      <c r="E9" s="55">
        <f>($A9-Scenarios!$C$4)/(E$8-Scenarios!$C$4)*'Peer Valuation'!$E$2</f>
        <v>50.473846153846161</v>
      </c>
      <c r="F9" s="55">
        <f>($A9-Scenarios!$C$4)/(F$8-Scenarios!$C$4)*'Peer Valuation'!$E$2</f>
        <v>46.868571428571435</v>
      </c>
    </row>
    <row r="10" spans="1:8" x14ac:dyDescent="0.25">
      <c r="A10" s="54">
        <v>0.16</v>
      </c>
      <c r="B10" s="55">
        <f>($A10-Scenarios!$C$4)/(B$8-Scenarios!$C$4)*'Peer Valuation'!$E$2</f>
        <v>82.02</v>
      </c>
      <c r="C10" s="55">
        <f>($A10-Scenarios!$C$4)/(C$8-Scenarios!$C$4)*'Peer Valuation'!$E$2</f>
        <v>74.563636363636363</v>
      </c>
      <c r="D10" s="55">
        <f>($A10-Scenarios!$C$4)/(D$8-Scenarios!$C$4)*'Peer Valuation'!$E$2</f>
        <v>68.349999999999994</v>
      </c>
      <c r="E10" s="55">
        <f>($A10-Scenarios!$C$4)/(E$8-Scenarios!$C$4)*'Peer Valuation'!$E$2</f>
        <v>63.092307692307692</v>
      </c>
      <c r="F10" s="55">
        <f>($A10-Scenarios!$C$4)/(F$8-Scenarios!$C$4)*'Peer Valuation'!$E$2</f>
        <v>58.585714285714282</v>
      </c>
    </row>
    <row r="11" spans="1:8" x14ac:dyDescent="0.25">
      <c r="A11" s="54">
        <v>0.18</v>
      </c>
      <c r="B11" s="55">
        <f>($A11-Scenarios!$C$4)/(B$8-Scenarios!$C$4)*'Peer Valuation'!$E$2</f>
        <v>98.423999999999992</v>
      </c>
      <c r="C11" s="55">
        <f>($A11-Scenarios!$C$4)/(C$8-Scenarios!$C$4)*'Peer Valuation'!$E$2</f>
        <v>89.476363636363629</v>
      </c>
      <c r="D11" s="55">
        <f>($A11-Scenarios!$C$4)/(D$8-Scenarios!$C$4)*'Peer Valuation'!$E$2</f>
        <v>82.02</v>
      </c>
      <c r="E11" s="55">
        <f>($A11-Scenarios!$C$4)/(E$8-Scenarios!$C$4)*'Peer Valuation'!$E$2</f>
        <v>75.710769230769216</v>
      </c>
      <c r="F11" s="55">
        <f>($A11-Scenarios!$C$4)/(F$8-Scenarios!$C$4)*'Peer Valuation'!$E$2</f>
        <v>70.302857142857121</v>
      </c>
    </row>
    <row r="12" spans="1:8" x14ac:dyDescent="0.25">
      <c r="A12" s="54">
        <v>0.2</v>
      </c>
      <c r="B12" s="55">
        <f>($A12-Scenarios!$C$4)/(B$8-Scenarios!$C$4)*'Peer Valuation'!$E$2</f>
        <v>114.828</v>
      </c>
      <c r="C12" s="55">
        <f>($A12-Scenarios!$C$4)/(C$8-Scenarios!$C$4)*'Peer Valuation'!$E$2</f>
        <v>104.3890909090909</v>
      </c>
      <c r="D12" s="55">
        <f>($A12-Scenarios!$C$4)/(D$8-Scenarios!$C$4)*'Peer Valuation'!$E$2</f>
        <v>95.69</v>
      </c>
      <c r="E12" s="55">
        <f>($A12-Scenarios!$C$4)/(E$8-Scenarios!$C$4)*'Peer Valuation'!$E$2</f>
        <v>88.329230769230776</v>
      </c>
      <c r="F12" s="55">
        <f>($A12-Scenarios!$C$4)/(F$8-Scenarios!$C$4)*'Peer Valuation'!$E$2</f>
        <v>82.02</v>
      </c>
    </row>
    <row r="13" spans="1:8" x14ac:dyDescent="0.25">
      <c r="A13" s="54">
        <v>0.22</v>
      </c>
      <c r="B13" s="55">
        <f>($A13-Scenarios!$C$4)/(B$8-Scenarios!$C$4)*'Peer Valuation'!$E$2</f>
        <v>131.23199999999997</v>
      </c>
      <c r="C13" s="55">
        <f>($A13-Scenarios!$C$4)/(C$8-Scenarios!$C$4)*'Peer Valuation'!$E$2</f>
        <v>119.30181818181816</v>
      </c>
      <c r="D13" s="55">
        <f>($A13-Scenarios!$C$4)/(D$8-Scenarios!$C$4)*'Peer Valuation'!$E$2</f>
        <v>109.36000000000001</v>
      </c>
      <c r="E13" s="55">
        <f>($A13-Scenarios!$C$4)/(E$8-Scenarios!$C$4)*'Peer Valuation'!$E$2</f>
        <v>100.94769230769231</v>
      </c>
      <c r="F13" s="55">
        <f>($A13-Scenarios!$C$4)/(F$8-Scenarios!$C$4)*'Peer Valuation'!$E$2</f>
        <v>93.737142857142842</v>
      </c>
    </row>
    <row r="14" spans="1:8" x14ac:dyDescent="0.25">
      <c r="A14" s="54">
        <v>0.24</v>
      </c>
      <c r="B14" s="55">
        <f>($A14-Scenarios!$C$4)/(B$8-Scenarios!$C$4)*'Peer Valuation'!$E$2</f>
        <v>147.63599999999997</v>
      </c>
      <c r="C14" s="55">
        <f>($A14-Scenarios!$C$4)/(C$8-Scenarios!$C$4)*'Peer Valuation'!$E$2</f>
        <v>134.21454545454543</v>
      </c>
      <c r="D14" s="55">
        <f>($A14-Scenarios!$C$4)/(D$8-Scenarios!$C$4)*'Peer Valuation'!$E$2</f>
        <v>123.03</v>
      </c>
      <c r="E14" s="55">
        <f>($A14-Scenarios!$C$4)/(E$8-Scenarios!$C$4)*'Peer Valuation'!$E$2</f>
        <v>113.56615384615384</v>
      </c>
      <c r="F14" s="55">
        <f>($A14-Scenarios!$C$4)/(F$8-Scenarios!$C$4)*'Peer Valuation'!$E$2</f>
        <v>105.4542857142857</v>
      </c>
    </row>
    <row r="15" spans="1:8" x14ac:dyDescent="0.25">
      <c r="A15" s="54">
        <v>0.26</v>
      </c>
      <c r="B15" s="55">
        <f>($A15-Scenarios!$C$4)/(B$8-Scenarios!$C$4)*'Peer Valuation'!$E$2</f>
        <v>164.04</v>
      </c>
      <c r="C15" s="55">
        <f>($A15-Scenarios!$C$4)/(C$8-Scenarios!$C$4)*'Peer Valuation'!$E$2</f>
        <v>149.12727272727273</v>
      </c>
      <c r="D15" s="55">
        <f>($A15-Scenarios!$C$4)/(D$8-Scenarios!$C$4)*'Peer Valuation'!$E$2</f>
        <v>136.69999999999999</v>
      </c>
      <c r="E15" s="55">
        <f>($A15-Scenarios!$C$4)/(E$8-Scenarios!$C$4)*'Peer Valuation'!$E$2</f>
        <v>126.18461538461538</v>
      </c>
      <c r="F15" s="55">
        <f>($A15-Scenarios!$C$4)/(F$8-Scenarios!$C$4)*'Peer Valuation'!$E$2</f>
        <v>117.17142857142856</v>
      </c>
    </row>
    <row r="17" spans="1:1" x14ac:dyDescent="0.25">
      <c r="A17" s="38" t="s">
        <v>306</v>
      </c>
    </row>
    <row r="19" spans="1:1" x14ac:dyDescent="0.25">
      <c r="A19" s="38" t="s">
        <v>307</v>
      </c>
    </row>
  </sheetData>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greaterThanOrEqual" id="{00000000-000E-0000-0900-000002000000}">
            <xm:f>'Peer Valuation'!$B$2</xm:f>
            <x14:dxf>
              <fill>
                <patternFill>
                  <bgColor rgb="FFC6EFCE"/>
                </patternFill>
              </fill>
            </x14:dxf>
          </x14:cfRule>
          <x14:cfRule type="cellIs" priority="3" operator="lessThan" id="{00000000-000E-0000-0900-000003000000}">
            <xm:f>'Peer Valuation'!$B$2</xm:f>
            <x14:dxf>
              <fill>
                <patternFill>
                  <bgColor rgb="FFFFC7CE"/>
                </patternFill>
              </fill>
            </x14:dxf>
          </x14:cfRule>
          <xm:sqref>B9:F15</xm:sqref>
        </x14:conditionalFormatting>
        <x14:conditionalFormatting xmlns:xm="http://schemas.microsoft.com/office/excel/2006/main">
          <x14:cfRule type="cellIs" priority="4" operator="greaterThanOrEqual" id="{00000000-000E-0000-0900-000004000000}">
            <xm:f>'Peer Valuation'!$B$2</xm:f>
            <x14:dxf>
              <fill>
                <patternFill>
                  <bgColor rgb="FFC6EFCE"/>
                </patternFill>
              </fill>
            </x14:dxf>
          </x14:cfRule>
          <x14:cfRule type="cellIs" priority="5" operator="lessThan" id="{00000000-000E-0000-0900-000005000000}">
            <xm:f>'Peer Valuation'!$B$2</xm:f>
            <x14:dxf>
              <fill>
                <patternFill>
                  <bgColor rgb="FFFFC7CE"/>
                </patternFill>
              </fill>
            </x14:dxf>
          </x14:cfRule>
          <xm:sqref>B3:H3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zoomScale="85" zoomScaleNormal="85" workbookViewId="0">
      <pane ySplit="1" topLeftCell="A2" activePane="bottomLeft" state="frozen"/>
      <selection activeCell="H5" sqref="H5"/>
      <selection pane="bottomLeft" activeCell="E15" sqref="E15"/>
    </sheetView>
  </sheetViews>
  <sheetFormatPr defaultColWidth="8.5703125" defaultRowHeight="15" x14ac:dyDescent="0.25"/>
  <cols>
    <col min="1" max="1" width="14" customWidth="1"/>
    <col min="2" max="2" width="36" customWidth="1"/>
    <col min="3" max="3" width="70" customWidth="1"/>
    <col min="4" max="4" width="60" customWidth="1"/>
    <col min="5" max="5" width="55" customWidth="1"/>
  </cols>
  <sheetData>
    <row r="1" spans="1:5" ht="27.75" customHeight="1" x14ac:dyDescent="0.25">
      <c r="A1" s="16" t="s">
        <v>144</v>
      </c>
      <c r="B1" s="16" t="s">
        <v>145</v>
      </c>
      <c r="C1" s="16" t="s">
        <v>146</v>
      </c>
      <c r="D1" s="16" t="s">
        <v>147</v>
      </c>
      <c r="E1" s="16" t="s">
        <v>148</v>
      </c>
    </row>
    <row r="2" spans="1:5" ht="45" x14ac:dyDescent="0.25">
      <c r="A2" s="13" t="s">
        <v>234</v>
      </c>
      <c r="B2" s="66" t="s">
        <v>235</v>
      </c>
      <c r="C2" s="66" t="s">
        <v>236</v>
      </c>
      <c r="D2" s="66" t="s">
        <v>237</v>
      </c>
      <c r="E2" s="13" t="s">
        <v>238</v>
      </c>
    </row>
    <row r="3" spans="1:5" ht="30" x14ac:dyDescent="0.25">
      <c r="A3" s="13" t="s">
        <v>234</v>
      </c>
      <c r="B3" s="13" t="s">
        <v>242</v>
      </c>
      <c r="C3" s="66" t="s">
        <v>241</v>
      </c>
      <c r="D3" s="66" t="s">
        <v>240</v>
      </c>
      <c r="E3" s="66" t="s">
        <v>239</v>
      </c>
    </row>
    <row r="4" spans="1:5" ht="30" x14ac:dyDescent="0.25">
      <c r="A4" s="13" t="s">
        <v>234</v>
      </c>
      <c r="B4" s="13" t="s">
        <v>243</v>
      </c>
      <c r="C4" s="66" t="s">
        <v>244</v>
      </c>
      <c r="D4" s="66" t="s">
        <v>246</v>
      </c>
      <c r="E4" s="13" t="s">
        <v>245</v>
      </c>
    </row>
    <row r="5" spans="1:5" ht="45" x14ac:dyDescent="0.25">
      <c r="A5" s="13" t="s">
        <v>234</v>
      </c>
      <c r="B5" s="66" t="s">
        <v>247</v>
      </c>
      <c r="C5" s="66" t="s">
        <v>248</v>
      </c>
      <c r="D5" s="13" t="s">
        <v>249</v>
      </c>
      <c r="E5" s="66" t="s">
        <v>250</v>
      </c>
    </row>
    <row r="6" spans="1:5" ht="30" x14ac:dyDescent="0.25">
      <c r="A6" s="13" t="s">
        <v>149</v>
      </c>
      <c r="B6" s="13" t="s">
        <v>251</v>
      </c>
      <c r="C6" s="66" t="s">
        <v>252</v>
      </c>
      <c r="D6" s="66" t="s">
        <v>257</v>
      </c>
      <c r="E6" s="66" t="s">
        <v>258</v>
      </c>
    </row>
    <row r="7" spans="1:5" ht="45" x14ac:dyDescent="0.25">
      <c r="A7" s="13" t="s">
        <v>149</v>
      </c>
      <c r="B7" s="66" t="s">
        <v>255</v>
      </c>
      <c r="C7" s="66" t="s">
        <v>259</v>
      </c>
      <c r="D7" s="66" t="s">
        <v>253</v>
      </c>
      <c r="E7" s="66" t="s">
        <v>254</v>
      </c>
    </row>
    <row r="8" spans="1:5" ht="45" x14ac:dyDescent="0.25">
      <c r="A8" s="13" t="s">
        <v>149</v>
      </c>
      <c r="B8" s="66" t="s">
        <v>256</v>
      </c>
      <c r="C8" s="66" t="s">
        <v>260</v>
      </c>
      <c r="D8" s="66" t="s">
        <v>261</v>
      </c>
      <c r="E8" s="66" t="s">
        <v>262</v>
      </c>
    </row>
    <row r="9" spans="1:5" ht="30" x14ac:dyDescent="0.25">
      <c r="A9" s="13"/>
      <c r="B9" s="13"/>
      <c r="C9" s="13"/>
      <c r="D9" s="13"/>
      <c r="E9" s="13" t="s">
        <v>150</v>
      </c>
    </row>
    <row r="10" spans="1:5" x14ac:dyDescent="0.25">
      <c r="A10" s="13"/>
      <c r="B10" s="13"/>
      <c r="C10" s="13"/>
      <c r="D10" s="13"/>
      <c r="E10" s="13"/>
    </row>
    <row r="11" spans="1:5" x14ac:dyDescent="0.25">
      <c r="A11" s="13"/>
      <c r="B11" s="13"/>
      <c r="C11" s="13"/>
      <c r="D11" s="13"/>
      <c r="E11" s="13"/>
    </row>
    <row r="12" spans="1:5" x14ac:dyDescent="0.25">
      <c r="A12" s="13"/>
      <c r="B12" s="13"/>
      <c r="C12" s="13"/>
      <c r="D12" s="13"/>
      <c r="E12" s="13"/>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
  <sheetViews>
    <sheetView zoomScaleNormal="100" workbookViewId="0">
      <pane ySplit="1" topLeftCell="A2" activePane="bottomLeft" state="frozen"/>
      <selection pane="bottomLeft" activeCell="B13" sqref="B13"/>
    </sheetView>
  </sheetViews>
  <sheetFormatPr defaultColWidth="8.5703125" defaultRowHeight="15" x14ac:dyDescent="0.25"/>
  <cols>
    <col min="1" max="1" width="30" customWidth="1"/>
    <col min="2" max="2" width="50" customWidth="1"/>
    <col min="3" max="3" width="14" customWidth="1"/>
    <col min="4" max="4" width="80" customWidth="1"/>
    <col min="5" max="5" width="60" customWidth="1"/>
  </cols>
  <sheetData>
    <row r="1" spans="1:5" ht="27.75" customHeight="1" x14ac:dyDescent="0.25">
      <c r="A1" s="16" t="s">
        <v>151</v>
      </c>
      <c r="B1" s="16" t="s">
        <v>152</v>
      </c>
      <c r="C1" s="16" t="s">
        <v>153</v>
      </c>
      <c r="D1" s="16" t="s">
        <v>154</v>
      </c>
      <c r="E1" s="16" t="s">
        <v>155</v>
      </c>
    </row>
    <row r="2" spans="1:5" ht="30" x14ac:dyDescent="0.25">
      <c r="A2" s="11" t="s">
        <v>100</v>
      </c>
      <c r="B2" s="11" t="s">
        <v>308</v>
      </c>
      <c r="C2" s="11" t="s">
        <v>310</v>
      </c>
      <c r="D2" s="13" t="s">
        <v>157</v>
      </c>
      <c r="E2" s="11" t="s">
        <v>158</v>
      </c>
    </row>
    <row r="3" spans="1:5" x14ac:dyDescent="0.25">
      <c r="A3" s="11" t="s">
        <v>159</v>
      </c>
      <c r="B3" s="11" t="s">
        <v>160</v>
      </c>
      <c r="C3" s="13" t="s">
        <v>161</v>
      </c>
      <c r="D3" s="13" t="s">
        <v>311</v>
      </c>
      <c r="E3" s="11" t="s">
        <v>162</v>
      </c>
    </row>
    <row r="4" spans="1:5" x14ac:dyDescent="0.25">
      <c r="A4" s="11" t="s">
        <v>163</v>
      </c>
      <c r="B4" s="11" t="s">
        <v>164</v>
      </c>
      <c r="C4" s="11" t="s">
        <v>165</v>
      </c>
      <c r="D4" s="13" t="s">
        <v>309</v>
      </c>
      <c r="E4" s="11" t="s">
        <v>166</v>
      </c>
    </row>
    <row r="5" spans="1:5" ht="30" x14ac:dyDescent="0.25">
      <c r="A5" s="13" t="s">
        <v>167</v>
      </c>
      <c r="B5" s="13" t="s">
        <v>168</v>
      </c>
      <c r="C5" s="13" t="s">
        <v>169</v>
      </c>
      <c r="D5" s="13" t="s">
        <v>170</v>
      </c>
      <c r="E5" s="13" t="s">
        <v>171</v>
      </c>
    </row>
    <row r="6" spans="1:5" ht="30" x14ac:dyDescent="0.25">
      <c r="A6" s="13" t="s">
        <v>172</v>
      </c>
      <c r="B6" s="13" t="s">
        <v>173</v>
      </c>
      <c r="C6" s="13" t="s">
        <v>169</v>
      </c>
      <c r="D6" s="13" t="s">
        <v>174</v>
      </c>
      <c r="E6" s="13" t="s">
        <v>175</v>
      </c>
    </row>
    <row r="7" spans="1:5" ht="30" x14ac:dyDescent="0.25">
      <c r="A7" s="13" t="s">
        <v>176</v>
      </c>
      <c r="B7" s="13" t="s">
        <v>177</v>
      </c>
      <c r="C7" s="13" t="s">
        <v>156</v>
      </c>
      <c r="D7" s="13" t="s">
        <v>178</v>
      </c>
      <c r="E7" s="13" t="s">
        <v>179</v>
      </c>
    </row>
    <row r="8" spans="1:5" ht="30" x14ac:dyDescent="0.25">
      <c r="A8" s="13" t="s">
        <v>180</v>
      </c>
      <c r="B8" s="13" t="s">
        <v>181</v>
      </c>
      <c r="C8" s="13" t="s">
        <v>156</v>
      </c>
      <c r="D8" s="13" t="s">
        <v>182</v>
      </c>
      <c r="E8" s="13" t="s">
        <v>183</v>
      </c>
    </row>
    <row r="9" spans="1:5" ht="30" x14ac:dyDescent="0.25">
      <c r="A9" s="13" t="s">
        <v>184</v>
      </c>
      <c r="B9" s="13" t="s">
        <v>185</v>
      </c>
      <c r="C9" s="13" t="s">
        <v>186</v>
      </c>
      <c r="D9" s="13" t="s">
        <v>187</v>
      </c>
      <c r="E9" s="13" t="s">
        <v>188</v>
      </c>
    </row>
    <row r="10" spans="1:5" ht="30" x14ac:dyDescent="0.25">
      <c r="A10" s="13" t="s">
        <v>189</v>
      </c>
      <c r="B10" s="13" t="s">
        <v>190</v>
      </c>
      <c r="C10" s="13" t="s">
        <v>191</v>
      </c>
      <c r="D10" s="13" t="s">
        <v>192</v>
      </c>
      <c r="E10" s="13" t="s">
        <v>193</v>
      </c>
    </row>
    <row r="15" spans="1:5" x14ac:dyDescent="0.25">
      <c r="A15" s="3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Conclusion</vt:lpstr>
      <vt:lpstr>Financials</vt:lpstr>
      <vt:lpstr>KPIs</vt:lpstr>
      <vt:lpstr>PBT Bridge</vt:lpstr>
      <vt:lpstr>NII Analysis</vt:lpstr>
      <vt:lpstr>Price Performance</vt:lpstr>
      <vt:lpstr>Peer Valuation</vt:lpstr>
      <vt:lpstr>Valuation</vt:lpstr>
      <vt:lpstr>Scenarios</vt:lpstr>
      <vt:lpstr>Sensitivity</vt:lpstr>
      <vt:lpstr>Thesis &amp; Risks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Vivek S. Divecha</cp:lastModifiedBy>
  <cp:revision>0</cp:revision>
  <dcterms:created xsi:type="dcterms:W3CDTF">2026-10-05T12:33:46Z</dcterms:created>
  <dcterms:modified xsi:type="dcterms:W3CDTF">2026-10-19T08:08:53Z</dcterms:modified>
  <dc:language>en-US</dc:language>
</cp:coreProperties>
</file>